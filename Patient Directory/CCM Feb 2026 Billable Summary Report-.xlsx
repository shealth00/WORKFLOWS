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M Servic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IiBmYRqxS0kZ0wNawvmP8QMzaWlG3nYEk9uPzFIOMBo="/>
    </ext>
  </extLst>
</workbook>
</file>

<file path=xl/sharedStrings.xml><?xml version="1.0" encoding="utf-8"?>
<sst xmlns="http://schemas.openxmlformats.org/spreadsheetml/2006/main" count="5017" uniqueCount="907">
  <si>
    <t>Summary Report for FEB 2026</t>
  </si>
  <si>
    <t>Patient First Name</t>
  </si>
  <si>
    <t>Patient Middle Name</t>
  </si>
  <si>
    <t>Patient Last Name</t>
  </si>
  <si>
    <t>EMR ID</t>
  </si>
  <si>
    <t>Primary Insurance Name</t>
  </si>
  <si>
    <t>Primary Insurance Number</t>
  </si>
  <si>
    <t>Patient Status</t>
  </si>
  <si>
    <t>Date Of Birth</t>
  </si>
  <si>
    <t>ICD Codes</t>
  </si>
  <si>
    <t>Facility</t>
  </si>
  <si>
    <t>Physician Name</t>
  </si>
  <si>
    <t>Physician NPI</t>
  </si>
  <si>
    <t>Primary Care Coordinator</t>
  </si>
  <si>
    <t>Primary CCM Clinician</t>
  </si>
  <si>
    <t>CCM Consent</t>
  </si>
  <si>
    <t>Month &amp; Year</t>
  </si>
  <si>
    <t>Physician Time (HH:MI:SS)</t>
  </si>
  <si>
    <t>Clinician Time (HH:MI:SS)</t>
  </si>
  <si>
    <t>Total Time (HH:MI:SS)</t>
  </si>
  <si>
    <t>Eligible Date Of Billing</t>
  </si>
  <si>
    <t>CPT Code</t>
  </si>
  <si>
    <t>Duration (HH:MI:SS)</t>
  </si>
  <si>
    <t>Service Type</t>
  </si>
  <si>
    <t>Service Remarks</t>
  </si>
  <si>
    <t>Minimum Service Duration</t>
  </si>
  <si>
    <t>Service Summary Notes</t>
  </si>
  <si>
    <t>Warning</t>
  </si>
  <si>
    <t>Care Status Remarks</t>
  </si>
  <si>
    <t>Other Remarks</t>
  </si>
  <si>
    <t>DX 1</t>
  </si>
  <si>
    <t>DX 2</t>
  </si>
  <si>
    <t>DX 3</t>
  </si>
  <si>
    <t>DX 4</t>
  </si>
  <si>
    <t>DX 5</t>
  </si>
  <si>
    <t>DX 6</t>
  </si>
  <si>
    <t>DX 7</t>
  </si>
  <si>
    <t>DX 8</t>
  </si>
  <si>
    <t>DX 9</t>
  </si>
  <si>
    <t>DX 10</t>
  </si>
  <si>
    <t>Alice</t>
  </si>
  <si>
    <t>Gregory</t>
  </si>
  <si>
    <t>HHS0002</t>
  </si>
  <si>
    <t>Medicare</t>
  </si>
  <si>
    <t>3RV5AA3DY54</t>
  </si>
  <si>
    <t>Active</t>
  </si>
  <si>
    <t>12-20-1947</t>
  </si>
  <si>
    <t>Acute - H04.129 (Dry eye syndrome of unspecified lacrimal gland),
Acute - I51.4 (Myocarditis, unspecified),
Chronic - C50.911 (Malignant neoplasm of unspecified site of right female breast),
Chronic - E03.9 (Hypothyroidism, unspecified),
Chronic - I10 (Essential (primary) hypertension),
Chronic - I50.20 (Unspecified systolic (congestive) heart failure)</t>
  </si>
  <si>
    <t>House of Hollywood</t>
  </si>
  <si>
    <t>Benedicta Olagbegbi</t>
  </si>
  <si>
    <t>1356714943</t>
  </si>
  <si>
    <t>Miariesha Brown</t>
  </si>
  <si>
    <t>Verbal - 07/19/2025</t>
  </si>
  <si>
    <t>FEB 2026</t>
  </si>
  <si>
    <t>07-19-2025</t>
  </si>
  <si>
    <t>99491</t>
  </si>
  <si>
    <t>Complex CCM Complete</t>
  </si>
  <si>
    <t>Review Lab Reports - COVID LABS REVIEWED BY PROVIDER, Get Encounter Details From EMR for Care Plan Data Entry - PERFORMED BY CHISOMIJUE NWOKORIE (MA)3128181879, Patient Vital Reading Measurement and Review - All patient's vitals were collected in person by Aslam Khan</t>
  </si>
  <si>
    <t>30 min</t>
  </si>
  <si>
    <t>Acute - H04.129</t>
  </si>
  <si>
    <t>Acute - I51.4</t>
  </si>
  <si>
    <t>Chronic - C50.911</t>
  </si>
  <si>
    <t>Chronic - E03.9</t>
  </si>
  <si>
    <t>Chronic - I10</t>
  </si>
  <si>
    <t>Chronic - I50.20</t>
  </si>
  <si>
    <t>Additional 30 min</t>
  </si>
  <si>
    <t>Asuncion</t>
  </si>
  <si>
    <t>Ramos</t>
  </si>
  <si>
    <t>HHS0031</t>
  </si>
  <si>
    <t>1GN6RO4TW75</t>
  </si>
  <si>
    <t>08-15-1942</t>
  </si>
  <si>
    <t>Chronic - I10 (Essential (primary) hypertension)</t>
  </si>
  <si>
    <t>99490</t>
  </si>
  <si>
    <t>20 min</t>
  </si>
  <si>
    <t>Additional 20 min</t>
  </si>
  <si>
    <t>Billy</t>
  </si>
  <si>
    <t>Turner</t>
  </si>
  <si>
    <t>HHS0005</t>
  </si>
  <si>
    <t>5RC0HC8TJ07</t>
  </si>
  <si>
    <t>04-19-1950</t>
  </si>
  <si>
    <t>Chronic - I10 (Essential (primary) hypertension),
Chronic - I11.9 (Hypertensive heart disease without heart failure),
Chronic - J44.9 (Chronic obstructive pulmonary disease, unspecified),
Chronic - K70.30 (Alcoholic cirrhosis of liver without ascites),
Chronic - K86.1 (Other chronic pancreatitis),
Chronic - N18.30 (Chronic kidney disease, stage 3 unspecified),
Chronic - Q89.9 (Congenital malformation, unspecified)</t>
  </si>
  <si>
    <t>Chronic - I11.9</t>
  </si>
  <si>
    <t>Chronic - J44.9</t>
  </si>
  <si>
    <t>Chronic - K70.30</t>
  </si>
  <si>
    <t>Chronic - K86.1</t>
  </si>
  <si>
    <t>Chronic - N18.30</t>
  </si>
  <si>
    <t>Chronic - Q89.9</t>
  </si>
  <si>
    <t>Bonnolyn</t>
  </si>
  <si>
    <t>Durden</t>
  </si>
  <si>
    <t>HHS0010</t>
  </si>
  <si>
    <t>8UA8EH9VE3</t>
  </si>
  <si>
    <t>12-17-1942</t>
  </si>
  <si>
    <t>Carlos</t>
  </si>
  <si>
    <t>Gochi-garcia</t>
  </si>
  <si>
    <t>HHS0027</t>
  </si>
  <si>
    <t>6P50PN8JQ26</t>
  </si>
  <si>
    <t>07-01-1942</t>
  </si>
  <si>
    <t>Chronic - E11.9 (Type 2 diabetes mellitus without complications),
Chronic - I10 (Essential (primary) hypertension),
Chronic - I62.00 (Nontraumatic subdural hemorrhage, unspecified),
Chronic - M47.812 (Spondylosis without myelopathy or radiculopathy, cervical region),
Chronic - N18.30 (Chronic kidney disease, stage 3 unspecified)</t>
  </si>
  <si>
    <t>Chronic - E11.9</t>
  </si>
  <si>
    <t>Chronic - I62.00</t>
  </si>
  <si>
    <t>Chronic - M47.812</t>
  </si>
  <si>
    <t>Charalambos</t>
  </si>
  <si>
    <t>Lenakakis</t>
  </si>
  <si>
    <t>HHS0016</t>
  </si>
  <si>
    <t>1UT7M05NT66</t>
  </si>
  <si>
    <t>11-15-1951</t>
  </si>
  <si>
    <t>Chronic - E78.1 (Pure hyperglyceridemia),
Chronic - I10 (Essential (primary) hypertension)</t>
  </si>
  <si>
    <t>Chronic - E78.1</t>
  </si>
  <si>
    <t>Debra</t>
  </si>
  <si>
    <t>Miller</t>
  </si>
  <si>
    <t>HHS0014</t>
  </si>
  <si>
    <t>2J90XV5QK26</t>
  </si>
  <si>
    <t>10-28-1951</t>
  </si>
  <si>
    <t>Greagory</t>
  </si>
  <si>
    <t>Moorehead</t>
  </si>
  <si>
    <t>HHS0012</t>
  </si>
  <si>
    <t>9J88V94XC30</t>
  </si>
  <si>
    <t>04-08-1952</t>
  </si>
  <si>
    <t>07-16-2025 11:50 AM</t>
  </si>
  <si>
    <t>40 minutes</t>
  </si>
  <si>
    <t>Harry</t>
  </si>
  <si>
    <t>Crosby</t>
  </si>
  <si>
    <t>HHS0029</t>
  </si>
  <si>
    <t>3VU1NY2GK22</t>
  </si>
  <si>
    <t>10-21-1947</t>
  </si>
  <si>
    <t>Acute - J06.9 (Acute upper respiratory infection, unspecified),
Acute - R05.8 (Other specified cough),
Acute - R91.8 (Other nonspecific abnormal finding of lung field),
Chronic - I10 (Essential (primary) hypertension),
Chronic - I25.10 (Atherosclerotic heart disease of native coronary artery without angina pectoris),
Chronic - J96.11 (Chronic respiratory failure with hypoxia)</t>
  </si>
  <si>
    <t>Acute - J06.9</t>
  </si>
  <si>
    <t>Acute - R05.8</t>
  </si>
  <si>
    <t>Acute - R91.8</t>
  </si>
  <si>
    <t>Chronic - I25.10</t>
  </si>
  <si>
    <t>Chronic - J96.11</t>
  </si>
  <si>
    <t>Hortenz</t>
  </si>
  <si>
    <t>Bankswright</t>
  </si>
  <si>
    <t>HHS0006</t>
  </si>
  <si>
    <t>IPG0N78XG38</t>
  </si>
  <si>
    <t>08-02-1954</t>
  </si>
  <si>
    <t>Jeffrey</t>
  </si>
  <si>
    <t>Posner</t>
  </si>
  <si>
    <t>HHS0020</t>
  </si>
  <si>
    <t>6YW3DH8NW02</t>
  </si>
  <si>
    <t>06-15-1943</t>
  </si>
  <si>
    <t>John</t>
  </si>
  <si>
    <t>Fallah</t>
  </si>
  <si>
    <t>HHS0025</t>
  </si>
  <si>
    <t>5CV4FY0JR90</t>
  </si>
  <si>
    <t>12-24-1946</t>
  </si>
  <si>
    <t>Allen</t>
  </si>
  <si>
    <t>Lewis</t>
  </si>
  <si>
    <t>C000062</t>
  </si>
  <si>
    <t>8F40EM2WE16</t>
  </si>
  <si>
    <t>06-25-1957</t>
  </si>
  <si>
    <t>Acute - K64.9 (Unspecified hemorrhoids),
Chronic - B19.20 (Unspecified viral hepatitis C without hepatic coma),
Chronic - E11.9 (Type 2 diabetes mellitus without complications),
Chronic - E78.5 (Hyperlipidemia, unspecified),
Chronic - I10 (Essential (primary) hypertension),
Chronic - I72.9 (Aneurysm of unspecified site),
Chronic - N40.0 (Benign prostatic hyperplasia without lower urinary tract symptoms)</t>
  </si>
  <si>
    <t>pioneer gardens</t>
  </si>
  <si>
    <t>Acute - K64.9</t>
  </si>
  <si>
    <t>Chronic - B19.20</t>
  </si>
  <si>
    <t>Chronic - E78.5</t>
  </si>
  <si>
    <t>Chronic - I72.9</t>
  </si>
  <si>
    <t>Chronic - N40.0</t>
  </si>
  <si>
    <t>99437</t>
  </si>
  <si>
    <t>Additional 60 min</t>
  </si>
  <si>
    <t>Mc Nair</t>
  </si>
  <si>
    <t>C000067</t>
  </si>
  <si>
    <t>5XD9UT2ER14</t>
  </si>
  <si>
    <t>08-18-1951</t>
  </si>
  <si>
    <t>Chronic - E11.9 (Type 2 diabetes mellitus without complications),
Chronic - E27.9 (Disorder of adrenal gland, unspecified),
Chronic - I10 (Essential (primary) hypertension),
Chronic - I50.30 (Unspecified diastolic (congestive) heart failure),
Chronic - K57.93 (Diverticulitis of intestine, part unspecified, without perforation or abscess with bleeding)</t>
  </si>
  <si>
    <t>Chronic - E27.9</t>
  </si>
  <si>
    <t>Chronic - I50.30</t>
  </si>
  <si>
    <t>Chronic - K57.93</t>
  </si>
  <si>
    <t>Anita</t>
  </si>
  <si>
    <t>Smith</t>
  </si>
  <si>
    <t>C000015</t>
  </si>
  <si>
    <t>10-14-1957</t>
  </si>
  <si>
    <t>Verbal</t>
  </si>
  <si>
    <t>Arnold</t>
  </si>
  <si>
    <t>Martin</t>
  </si>
  <si>
    <t>C000065</t>
  </si>
  <si>
    <t>4AJ0HC6MV42</t>
  </si>
  <si>
    <t>03-25-1947</t>
  </si>
  <si>
    <t>Acute - F32.A (Depression, unspecified),
Chronic - G70.9 (Myoneural disorder, unspecified),
Chronic - I10 (Essential (primary) hypertension),
Chronic - K21.9 (Gastro-esophageal reflux disease without esophagitis)</t>
  </si>
  <si>
    <t>Acute - F32.A</t>
  </si>
  <si>
    <t>Chronic - G70.9</t>
  </si>
  <si>
    <t>Chronic - K21.9</t>
  </si>
  <si>
    <t>Brenda</t>
  </si>
  <si>
    <t>Phillips</t>
  </si>
  <si>
    <t>C000010</t>
  </si>
  <si>
    <t>5TR3N70DG77</t>
  </si>
  <si>
    <t>De-enrolled</t>
  </si>
  <si>
    <t>09-10-1949</t>
  </si>
  <si>
    <t>Chronic - E78.00 (Pure hypercholesterolemia, unspecified),
Chronic - G70.9 (Myoneural disorder, unspecified),
Chronic - I10 (Essential (primary) hypertension),
Chronic - M19.90 (Unspecified osteoarthritis, unspecified site)</t>
  </si>
  <si>
    <t>Patient was de-enrolled from the program on 07-26-2025 02:13 PM</t>
  </si>
  <si>
    <t>Chronic - E78.00</t>
  </si>
  <si>
    <t>Chronic - M19.90</t>
  </si>
  <si>
    <t>Charles</t>
  </si>
  <si>
    <t>Frieson</t>
  </si>
  <si>
    <t>C000045</t>
  </si>
  <si>
    <t>5T82EP7VU11</t>
  </si>
  <si>
    <t>01-24-1943</t>
  </si>
  <si>
    <t>Chronic - D64.9 (Anemia, unspecified),
Chronic - E78.00 (Pure hypercholesterolemia, unspecified),
Chronic - I10 (Essential (primary) hypertension),
Chronic - J44.9 (Chronic obstructive pulmonary disease, unspecified),
Chronic - K21.9 (Gastro-esophageal reflux disease without esophagitis)</t>
  </si>
  <si>
    <t>Chronic - D64.9</t>
  </si>
  <si>
    <t>Craig</t>
  </si>
  <si>
    <t>Oconnor</t>
  </si>
  <si>
    <t>C000006</t>
  </si>
  <si>
    <t>8QH7D51VR57</t>
  </si>
  <si>
    <t>02-03-1955</t>
  </si>
  <si>
    <t>Chronic - G31.9 (Degenerative disease of nervous system, unspecified),
Chronic - G93.89 (Other specified disorders of brain),
Chronic - I10 (Essential (primary) hypertension)</t>
  </si>
  <si>
    <t>Chronic - G31.9</t>
  </si>
  <si>
    <t>Chronic - G93.89</t>
  </si>
  <si>
    <t>Dannette</t>
  </si>
  <si>
    <t>Nunley</t>
  </si>
  <si>
    <t>C000005</t>
  </si>
  <si>
    <t>3JW1YQ6JU91</t>
  </si>
  <si>
    <t>03-03-1959</t>
  </si>
  <si>
    <t>Chronic - F10.180 (Alcohol abuse with alcohol-induced anxiety disorder),
Chronic - G30.9 (Alzheimer's disease, unspecified),
Chronic - G40.901 (Epilepsy, unspecified, not intractable, with status epilepticus),
Chronic - I10 (Essential (primary) hypertension)</t>
  </si>
  <si>
    <t>Chronic - F10.180</t>
  </si>
  <si>
    <t>Chronic - G30.9</t>
  </si>
  <si>
    <t>Chronic - G40.901</t>
  </si>
  <si>
    <t>Darlene</t>
  </si>
  <si>
    <t>C000064</t>
  </si>
  <si>
    <t>7QA7W98UX56</t>
  </si>
  <si>
    <t>06-25-1955</t>
  </si>
  <si>
    <t>Chronic - E11.9 (Type 2 diabetes mellitus without complications),
Chronic - I10 (Essential (primary) hypertension)</t>
  </si>
  <si>
    <t>Deronto</t>
  </si>
  <si>
    <t>Davidson</t>
  </si>
  <si>
    <t>C000040</t>
  </si>
  <si>
    <t>6YY8HX1HP58</t>
  </si>
  <si>
    <t>02-20-1938</t>
  </si>
  <si>
    <t>Acute - R56.9 (Unspecified convulsions),
Chronic - D64.9 (Anemia, unspecified),
Chronic - E78.00 (Pure hypercholesterolemia, unspecified),
Chronic - G30.9 (Alzheimer's disease, unspecified),
Chronic - I10 (Essential (primary) hypertension),
Chronic - J44.9 (Chronic obstructive pulmonary disease, unspecified),
Chronic - K21.9 (Gastro-esophageal reflux disease without esophagitis)</t>
  </si>
  <si>
    <t>Acute - R56.9</t>
  </si>
  <si>
    <t>Harold</t>
  </si>
  <si>
    <t>Jones</t>
  </si>
  <si>
    <t>C000001</t>
  </si>
  <si>
    <t>095712956</t>
  </si>
  <si>
    <t>06-15-1936</t>
  </si>
  <si>
    <t>07-26-2025 06:20 AM</t>
  </si>
  <si>
    <t>James</t>
  </si>
  <si>
    <t>Barnett</t>
  </si>
  <si>
    <t>C000032</t>
  </si>
  <si>
    <t>2TQ8DU6WN61</t>
  </si>
  <si>
    <t>07-21-1940</t>
  </si>
  <si>
    <t>Acute - P78.83 (Newborn esophageal reflux),
Acute - R30.0 (Dysuria),
Chronic - F10.180 (Alcohol abuse with alcohol-induced anxiety disorder),
Chronic - J44.9 (Chronic obstructive pulmonary disease, unspecified),
Chronic - K21.9 (Gastro-esophageal reflux disease without esophagitis),
Chronic - N40.0 (Benign prostatic hyperplasia without lower urinary tract symptoms)</t>
  </si>
  <si>
    <t>Acute - P78.83</t>
  </si>
  <si>
    <t>Acute - R30.0</t>
  </si>
  <si>
    <t>Cross</t>
  </si>
  <si>
    <t>C000038</t>
  </si>
  <si>
    <t>9MK9P15NC47</t>
  </si>
  <si>
    <t>02-21-1954</t>
  </si>
  <si>
    <t>Chronic - E11.9 (Type 2 diabetes mellitus without complications),
Chronic - E78.00 (Pure hypercholesterolemia, unspecified),
Chronic - I10 (Essential (primary) hypertension),
Chronic - M10.9 (Gout, unspecified)</t>
  </si>
  <si>
    <t>Chronic - M10.9</t>
  </si>
  <si>
    <t>Additional 40 min</t>
  </si>
  <si>
    <t>Jaye</t>
  </si>
  <si>
    <t>Dickens</t>
  </si>
  <si>
    <t>C000042</t>
  </si>
  <si>
    <t>4XJ0MA9DJ13</t>
  </si>
  <si>
    <t>11-23-1950</t>
  </si>
  <si>
    <t>Chronic - I10 (Essential (primary) hypertension),
Chronic - K21.9 (Gastro-esophageal reflux disease without esophagitis)</t>
  </si>
  <si>
    <t>Lillian</t>
  </si>
  <si>
    <t>Tillman</t>
  </si>
  <si>
    <t>C000021</t>
  </si>
  <si>
    <t>9MC8P39UD42</t>
  </si>
  <si>
    <t>06-02-1943</t>
  </si>
  <si>
    <t>Chronic - E78.00 (Pure hypercholesterolemia, unspecified),
Chronic - I10 (Essential (primary) hypertension),
Chronic - I20.9 (Angina pectoris, unspecified),
Chronic - K21.9 (Gastro-esophageal reflux disease without esophagitis)</t>
  </si>
  <si>
    <t>07-26-2025 09:52 AM</t>
  </si>
  <si>
    <t>Chronic - I20.9</t>
  </si>
  <si>
    <t>Bill</t>
  </si>
  <si>
    <t>Gleason</t>
  </si>
  <si>
    <t>C000050</t>
  </si>
  <si>
    <t>7PC3MK0DE92</t>
  </si>
  <si>
    <t>03-20-1955</t>
  </si>
  <si>
    <t>Acute - F32.A (Depression, unspecified),
Acute - R30.0 (Dysuria),
Chronic - E11.9 (Type 2 diabetes mellitus without complications),
Chronic - E78.00 (Pure hypercholesterolemia, unspecified),
Chronic - I10 (Essential (primary) hypertension),
Chronic - K21.9 (Gastro-esophageal reflux disease without esophagitis),
Chronic - N40.0 (Benign prostatic hyperplasia without lower urinary tract symptoms)</t>
  </si>
  <si>
    <t>Senior Suites</t>
  </si>
  <si>
    <t>Patient was de-enrolled from the program on 07-26-2025 02:25 PM</t>
  </si>
  <si>
    <t>Catherine</t>
  </si>
  <si>
    <t>Green</t>
  </si>
  <si>
    <t>SSH0009</t>
  </si>
  <si>
    <t>1NG5PJ3NT88</t>
  </si>
  <si>
    <t>03-17-1956</t>
  </si>
  <si>
    <t>Verbal - 06/02/2025</t>
  </si>
  <si>
    <t>Aeemee</t>
  </si>
  <si>
    <t>SAL0107</t>
  </si>
  <si>
    <t>3U03JR4VR72</t>
  </si>
  <si>
    <t>05-20-1961</t>
  </si>
  <si>
    <t>Chronic - I10 (Essential (primary) hypertension),
Chronic - M19.019 (Primary osteoarthritis, unspecified shoulder)</t>
  </si>
  <si>
    <t>Solscites at palatine</t>
  </si>
  <si>
    <t>Allison Oliver</t>
  </si>
  <si>
    <t>Verbal - 07/09/2025</t>
  </si>
  <si>
    <t>Home Care:( Start Date : 07/18/2025)</t>
  </si>
  <si>
    <t>Chronic - M19.019</t>
  </si>
  <si>
    <t>Albert</t>
  </si>
  <si>
    <t>Neukuckatz</t>
  </si>
  <si>
    <t>SAL0054</t>
  </si>
  <si>
    <t>6JH8VN6TF68</t>
  </si>
  <si>
    <t>03-16-1927</t>
  </si>
  <si>
    <t>Acute - N17.9 (Acute kidney failure, unspecified),
Chronic - I10 (Essential (primary) hypertension),
Chronic - I50.32 (Chronic diastolic (congestive) heart failure),
Chronic - I51.9 (Heart disease, unspecified)</t>
  </si>
  <si>
    <t>Verbal - 06/29/2025</t>
  </si>
  <si>
    <t>Acute - N17.9</t>
  </si>
  <si>
    <t>Chronic - I50.32</t>
  </si>
  <si>
    <t>Chronic - I51.9</t>
  </si>
  <si>
    <t>Barbara</t>
  </si>
  <si>
    <t>R.</t>
  </si>
  <si>
    <t>Holt</t>
  </si>
  <si>
    <t>SAL0049</t>
  </si>
  <si>
    <t>6RG6UH3CQ74</t>
  </si>
  <si>
    <t>02-20-1947</t>
  </si>
  <si>
    <t>Acute - Z17.0 (Estrogen receptor positive status [ER+]),
Chronic - C50.911 (Malignant neoplasm of unspecified site of right female breast),
Chronic - I10 (Essential (primary) hypertension),
Chronic - J44.1 (Chronic obstructive pulmonary disease with (acute) exacerbation),
Chronic - J96.11 (Chronic respiratory failure with hypoxia)</t>
  </si>
  <si>
    <t>Acute - Z17.0</t>
  </si>
  <si>
    <t>Chronic - J44.1</t>
  </si>
  <si>
    <t>Bradley</t>
  </si>
  <si>
    <t>Lehigh</t>
  </si>
  <si>
    <t>SAL0010</t>
  </si>
  <si>
    <t>1A41D20GG08</t>
  </si>
  <si>
    <t>11-19-1960</t>
  </si>
  <si>
    <t>Acute - P78.83 (Newborn esophageal reflux),
Chronic - E78.5 (Hyperlipidemia, unspecified),
Chronic - F33.42 (Major depressive disorder, recurrent, in full remission),
Chronic - I10 (Essential (primary) hypertension)</t>
  </si>
  <si>
    <t>Chronic - F33.42</t>
  </si>
  <si>
    <t>Carmella</t>
  </si>
  <si>
    <t>Santini</t>
  </si>
  <si>
    <t>SAL0035</t>
  </si>
  <si>
    <t>7HC3F39QT94</t>
  </si>
  <si>
    <t>05-18-1933</t>
  </si>
  <si>
    <t>Carol</t>
  </si>
  <si>
    <t>Griseca</t>
  </si>
  <si>
    <t>SAL0050</t>
  </si>
  <si>
    <t>9QD2PA9VV27</t>
  </si>
  <si>
    <t>06-27-1950</t>
  </si>
  <si>
    <t>Acute - R05.3 (Chronic cough),
Chronic - E66.01 (Morbid (severe) obesity due to excess calories),
Chronic - F20.9 (Schizophrenia, unspecified),
Chronic - F32.9 (Major depressive disorder, single episode, unspecified),
Chronic - I10 (Essential (primary) hypertension)</t>
  </si>
  <si>
    <t>Acute - R05.3</t>
  </si>
  <si>
    <t>Chronic - E66.01</t>
  </si>
  <si>
    <t>Chronic - F20.9</t>
  </si>
  <si>
    <t>Chronic - F32.9</t>
  </si>
  <si>
    <t>Connie</t>
  </si>
  <si>
    <t>Knudsen</t>
  </si>
  <si>
    <t>SAL0078</t>
  </si>
  <si>
    <t>5R76DA1GP77NH</t>
  </si>
  <si>
    <t>11-28-1949</t>
  </si>
  <si>
    <t>Chronic - I10 (Essential (primary) hypertension),
Chronic - J44.9 (Chronic obstructive pulmonary disease, unspecified),
Chronic - N18.30 (Chronic kidney disease, stage 3 unspecified)</t>
  </si>
  <si>
    <t>Daniel</t>
  </si>
  <si>
    <t>Mankowski</t>
  </si>
  <si>
    <t>SAL0002</t>
  </si>
  <si>
    <t>9YX7YQ3AP40</t>
  </si>
  <si>
    <t>07-31-1948</t>
  </si>
  <si>
    <t>Chronic - E55.9 (Vitamin D deficiency, unspecified),
Chronic - E78.5 (Hyperlipidemia, unspecified)</t>
  </si>
  <si>
    <t>Chronic - E55.9</t>
  </si>
  <si>
    <t>Dolores</t>
  </si>
  <si>
    <t>Hathaway</t>
  </si>
  <si>
    <t>SAL0096</t>
  </si>
  <si>
    <t>6AY3N53RK96</t>
  </si>
  <si>
    <t>06-25-1929</t>
  </si>
  <si>
    <t>J.</t>
  </si>
  <si>
    <t>Moody</t>
  </si>
  <si>
    <t>SAL0046</t>
  </si>
  <si>
    <t>5FT2EU9RN92</t>
  </si>
  <si>
    <t>01-02-1900</t>
  </si>
  <si>
    <t>Acute - J18.9 (Pneumonia, unspecified organism),
Chronic - E78.5 (Hyperlipidemia, unspecified),
Chronic - I10 (Essential (primary) hypertension)</t>
  </si>
  <si>
    <t>Acute - J18.9</t>
  </si>
  <si>
    <t>Edward</t>
  </si>
  <si>
    <t>Dougherty</t>
  </si>
  <si>
    <t>SAL006</t>
  </si>
  <si>
    <t>4NN8WN5PN69</t>
  </si>
  <si>
    <t>08-01-1952</t>
  </si>
  <si>
    <t>Franklin</t>
  </si>
  <si>
    <t>D.</t>
  </si>
  <si>
    <t>Welz</t>
  </si>
  <si>
    <t>SAL005</t>
  </si>
  <si>
    <t>7D59XE3YC55</t>
  </si>
  <si>
    <t>11-07-1936</t>
  </si>
  <si>
    <t>Chronic - C61 (Malignant neoplasm of prostate),
Chronic - E03.9 (Hypothyroidism, unspecified),
Chronic - I10 (Essential (primary) hypertension),
Chronic - I35.0 (Nonrheumatic aortic (valve) stenosis),
Chronic - I48.91 (Unspecified atrial fibrillation),
Chronic - I50.32 (Chronic diastolic (congestive) heart failure),
Chronic - J44.9 (Chronic obstructive pulmonary disease, unspecified)</t>
  </si>
  <si>
    <t>Chronic - C61</t>
  </si>
  <si>
    <t>Chronic - I35.0</t>
  </si>
  <si>
    <t>Chronic - I48.91</t>
  </si>
  <si>
    <t>Georjean</t>
  </si>
  <si>
    <t>Brasch</t>
  </si>
  <si>
    <t>SAL0019</t>
  </si>
  <si>
    <t>IB01AK4MR32</t>
  </si>
  <si>
    <t>08-20-1943</t>
  </si>
  <si>
    <t>Acute - P78.83 (Newborn esophageal reflux),
Chronic - E78.5 (Hyperlipidemia, unspecified),
Chronic - I10 (Essential (primary) hypertension)</t>
  </si>
  <si>
    <t>Gerald</t>
  </si>
  <si>
    <t>Lavern</t>
  </si>
  <si>
    <t>Jacobs</t>
  </si>
  <si>
    <t>SAL0086</t>
  </si>
  <si>
    <t>4VWOF38QF39</t>
  </si>
  <si>
    <t>03-11-1950</t>
  </si>
  <si>
    <t>Acute - R07.9 (Chest pain, unspecified),
Chronic - E78.5 (Hyperlipidemia, unspecified),
Chronic - I10 (Essential (primary) hypertension)</t>
  </si>
  <si>
    <t>07-16-2025 11:49 AM</t>
  </si>
  <si>
    <t>Acute - R07.9</t>
  </si>
  <si>
    <t>Jacqueline</t>
  </si>
  <si>
    <t>Mazan</t>
  </si>
  <si>
    <t>SAL0017</t>
  </si>
  <si>
    <t>8WK7QX4XC57</t>
  </si>
  <si>
    <t>10-28-1938</t>
  </si>
  <si>
    <t>Chronic - I10 (Essential (primary) hypertension),
Chronic - I50.32 (Chronic diastolic (congestive) heart failure),
Chronic - N18.30 (Chronic kidney disease, stage 3 unspecified)</t>
  </si>
  <si>
    <t>A.</t>
  </si>
  <si>
    <t>SAL0023</t>
  </si>
  <si>
    <t>1DH0QU7HK43</t>
  </si>
  <si>
    <t>12-19-1930</t>
  </si>
  <si>
    <t>Blankenburg</t>
  </si>
  <si>
    <t>SAL0106</t>
  </si>
  <si>
    <t>8N33F06WE15</t>
  </si>
  <si>
    <t>10-10-1941</t>
  </si>
  <si>
    <t>E.</t>
  </si>
  <si>
    <t>Hammons</t>
  </si>
  <si>
    <t>SAL0060</t>
  </si>
  <si>
    <t>6KU6MW3JK42</t>
  </si>
  <si>
    <t>04-17-1947</t>
  </si>
  <si>
    <t>Acute - F22 (Delusional disorders),
Acute - Z79.01 (Long term (current) use of anticoagulants),
Chronic - F01.511 (Vascular dementia, unspecified severity, with agitation),
Chronic - F03.90 (Unspecified dementia, unspecified severity, without behavioral disturbance, psychotic disturbance, mood disturbance, and anxiety),
Chronic - I10 (Essential (primary) hypertension),
Chronic - I63.9 (Cerebral infarction, unspecified),
Chronic - I67.81 (Acute cerebrovascular insufficiency)</t>
  </si>
  <si>
    <t>Acute - F22</t>
  </si>
  <si>
    <t>Acute - Z79.01</t>
  </si>
  <si>
    <t>Chronic - F01.511</t>
  </si>
  <si>
    <t>Chronic - F03.90</t>
  </si>
  <si>
    <t>Chronic - I63.9</t>
  </si>
  <si>
    <t>Chronic - I67.81</t>
  </si>
  <si>
    <t>Jane</t>
  </si>
  <si>
    <t>Haskin</t>
  </si>
  <si>
    <t>SAL0082</t>
  </si>
  <si>
    <t>1F88UY4QU32</t>
  </si>
  <si>
    <t>03-31-1951</t>
  </si>
  <si>
    <t>Chronic - D63.1 (Anemia in chronic kidney disease),
Chronic - G89.4 (Chronic pain syndrome),
Chronic - I10 (Essential (primary) hypertension),
Chronic - N18.32 (Chronic kidney disease, stage 3b)</t>
  </si>
  <si>
    <t>07-17-2025 12:50 PM</t>
  </si>
  <si>
    <t>Chronic - D63.1</t>
  </si>
  <si>
    <t>Chronic - G89.4</t>
  </si>
  <si>
    <t>Chronic - N18.32</t>
  </si>
  <si>
    <t>07-20-2025 09:03 AM</t>
  </si>
  <si>
    <t>Jean</t>
  </si>
  <si>
    <t>Marie Dwyer</t>
  </si>
  <si>
    <t>Wrigley</t>
  </si>
  <si>
    <t>SAL0072</t>
  </si>
  <si>
    <t>8MG6WR6HA83</t>
  </si>
  <si>
    <t>12-05-1943</t>
  </si>
  <si>
    <t>Mc Elhose</t>
  </si>
  <si>
    <t>SAL0005</t>
  </si>
  <si>
    <t>1YW77JP2YU71</t>
  </si>
  <si>
    <t>01-10-1950</t>
  </si>
  <si>
    <t>Chronic - E11.9 (Type 2 diabetes mellitus without complications),
Chronic - I10 (Essential (primary) hypertension),
Chronic - N18.30 (Chronic kidney disease, stage 3 unspecified)</t>
  </si>
  <si>
    <t>Verbal - 05/01/2025</t>
  </si>
  <si>
    <t>Imlah</t>
  </si>
  <si>
    <t>SAL0030</t>
  </si>
  <si>
    <t>4G49JE3KV58</t>
  </si>
  <si>
    <t>09-08-1927</t>
  </si>
  <si>
    <t>Chronic - E10.9 (Type 1 diabetes mellitus without complications),
Chronic - H40.9 (Unspecified glaucoma),
Chronic - I10 (Essential (primary) hypertension)</t>
  </si>
  <si>
    <t>Chronic - E10.9</t>
  </si>
  <si>
    <t>Chronic - H40.9</t>
  </si>
  <si>
    <t>Joseph</t>
  </si>
  <si>
    <t>Niemiec</t>
  </si>
  <si>
    <t>SAL0053</t>
  </si>
  <si>
    <t>7GM4YF0DA80</t>
  </si>
  <si>
    <t>02-07-1939</t>
  </si>
  <si>
    <t>Chronic - E78.5 (Hyperlipidemia, unspecified),
Chronic - I10 (Essential (primary) hypertension),
Chronic - I48.21 (Permanent atrial fibrillation),
Chronic - I48.91 (Unspecified atrial fibrillation),
Chronic - I50.32 (Chronic diastolic (congestive) heart failure),
Chronic - N18.32 (Chronic kidney disease, stage 3b),
Chronic - N18.9 (Chronic kidney disease, unspecified)</t>
  </si>
  <si>
    <t>07-19-2025 09:24 PM</t>
  </si>
  <si>
    <t>Chronic - I48.21</t>
  </si>
  <si>
    <t>Chronic - N18.9</t>
  </si>
  <si>
    <t>07-20-2025 06:40 AM</t>
  </si>
  <si>
    <t>07-20-2025 08:09 AM</t>
  </si>
  <si>
    <t/>
  </si>
  <si>
    <t>SAL0079</t>
  </si>
  <si>
    <t>9A94EQ6QW85</t>
  </si>
  <si>
    <t>06-06-1938</t>
  </si>
  <si>
    <t>Acute - J18.9 (Pneumonia, unspecified organism),
Acute - R47.01 (Aphasia),
Chronic - F03.90 (Unspecified dementia, unspecified severity, without behavioral disturbance, psychotic disturbance, mood disturbance, and anxiety),
Chronic - I10 (Essential (primary) hypertension)</t>
  </si>
  <si>
    <t>Acute - R47.01</t>
  </si>
  <si>
    <t>SAL0018</t>
  </si>
  <si>
    <t>3F16EC7UF44</t>
  </si>
  <si>
    <t>06-01-1934</t>
  </si>
  <si>
    <t>Chronic - E78.1 (Pure hyperglyceridemia),
Chronic - F32.1 (Major depressive disorder, single episode, moderate),
Chronic - I10 (Essential (primary) hypertension)</t>
  </si>
  <si>
    <t>Chronic - F32.1</t>
  </si>
  <si>
    <t>Karen</t>
  </si>
  <si>
    <t>SAL0013</t>
  </si>
  <si>
    <t>9J59TC7KF10</t>
  </si>
  <si>
    <t>09-27-1937</t>
  </si>
  <si>
    <t>Linda</t>
  </si>
  <si>
    <t>Mcgurn</t>
  </si>
  <si>
    <t>SAL0028</t>
  </si>
  <si>
    <t>8EK2CY0JX95</t>
  </si>
  <si>
    <t>08-31-1942</t>
  </si>
  <si>
    <t>Chronic - E78.5 (Hyperlipidemia, unspecified),
Chronic - G43.909 (Migraine, unspecified, not intractable, without status migrainosus),
Chronic - I10 (Essential (primary) hypertension)</t>
  </si>
  <si>
    <t>Chronic - G43.909</t>
  </si>
  <si>
    <t>Lydia</t>
  </si>
  <si>
    <t>Gurevich</t>
  </si>
  <si>
    <t>SAL0071</t>
  </si>
  <si>
    <t>8HG2UW9NM93</t>
  </si>
  <si>
    <t>10-12-1940</t>
  </si>
  <si>
    <t>Acute - N39.0 (Urinary tract infection, site not specified),
Chronic - I10 (Essential (primary) hypertension),
Chronic - I50.9 (Heart failure, unspecified),
Chronic - J44.9 (Chronic obstructive pulmonary disease, unspecified)</t>
  </si>
  <si>
    <t>Acute - N39.0</t>
  </si>
  <si>
    <t>Chronic - I50.9</t>
  </si>
  <si>
    <t>Alan</t>
  </si>
  <si>
    <t>Dever</t>
  </si>
  <si>
    <t>DB0064</t>
  </si>
  <si>
    <t>8Q46V74TE85</t>
  </si>
  <si>
    <t>04-16-1952</t>
  </si>
  <si>
    <t>Chronic - E78.5 (Hyperlipidemia, unspecified),
Chronic - I42.9 (Cardiomyopathy, unspecified)</t>
  </si>
  <si>
    <t>The Oaks</t>
  </si>
  <si>
    <t>Chronic - I42.9</t>
  </si>
  <si>
    <t>Betty</t>
  </si>
  <si>
    <t>Sherwood</t>
  </si>
  <si>
    <t>DB0069</t>
  </si>
  <si>
    <t>8KA0FKCW36</t>
  </si>
  <si>
    <t>03-28-1943</t>
  </si>
  <si>
    <t>Cheung</t>
  </si>
  <si>
    <t>Chun</t>
  </si>
  <si>
    <t>BD0012</t>
  </si>
  <si>
    <t>5AD0EV2XP12</t>
  </si>
  <si>
    <t>09-08-1939</t>
  </si>
  <si>
    <t>Choi</t>
  </si>
  <si>
    <t>Chu</t>
  </si>
  <si>
    <t>DB0018</t>
  </si>
  <si>
    <t>1YJ9YM5NG41</t>
  </si>
  <si>
    <t>01-03-1925</t>
  </si>
  <si>
    <t>Additional 50 min</t>
  </si>
  <si>
    <t>Hung</t>
  </si>
  <si>
    <t>DB0105</t>
  </si>
  <si>
    <t>1U74W08TR79</t>
  </si>
  <si>
    <t>12-23-1932</t>
  </si>
  <si>
    <t>Chun Zao</t>
  </si>
  <si>
    <t>Yu</t>
  </si>
  <si>
    <t>DB0095</t>
  </si>
  <si>
    <t>349660712</t>
  </si>
  <si>
    <t>11-29-1937</t>
  </si>
  <si>
    <t>Dan</t>
  </si>
  <si>
    <t>Fong</t>
  </si>
  <si>
    <t>DB0017</t>
  </si>
  <si>
    <t>XOG901473456</t>
  </si>
  <si>
    <t>05-03-1940</t>
  </si>
  <si>
    <t>Eddie</t>
  </si>
  <si>
    <t>Williams</t>
  </si>
  <si>
    <t>DB0035</t>
  </si>
  <si>
    <t>3YV3PD2YV81</t>
  </si>
  <si>
    <t>04-17-1943</t>
  </si>
  <si>
    <t>Gloria</t>
  </si>
  <si>
    <t>DB0008</t>
  </si>
  <si>
    <t>9Y26F47FU65</t>
  </si>
  <si>
    <t>09-30-1940</t>
  </si>
  <si>
    <t>07-16-2025 11:48 AM</t>
  </si>
  <si>
    <t>Guo</t>
  </si>
  <si>
    <t>Chen</t>
  </si>
  <si>
    <t>DB0019</t>
  </si>
  <si>
    <t>2UH3YP8DE18</t>
  </si>
  <si>
    <t>06-11-1949</t>
  </si>
  <si>
    <t>Ha</t>
  </si>
  <si>
    <t>DB0113</t>
  </si>
  <si>
    <t>7KK8H24XJ54</t>
  </si>
  <si>
    <t>02-05-1951</t>
  </si>
  <si>
    <t>Helen</t>
  </si>
  <si>
    <t>Tcheng</t>
  </si>
  <si>
    <t>DB0108</t>
  </si>
  <si>
    <t>7KKBH24XJ54</t>
  </si>
  <si>
    <t>06-21-1969</t>
  </si>
  <si>
    <t>Huanlan</t>
  </si>
  <si>
    <t>Mei</t>
  </si>
  <si>
    <t>DB0025</t>
  </si>
  <si>
    <t>2FG4HH3QW91</t>
  </si>
  <si>
    <t>10-14-1946</t>
  </si>
  <si>
    <t>Huanqing</t>
  </si>
  <si>
    <t>DB0014</t>
  </si>
  <si>
    <t>6W96NY6PP79</t>
  </si>
  <si>
    <t>08-11-1953</t>
  </si>
  <si>
    <t>Irmogene</t>
  </si>
  <si>
    <t>Hardy</t>
  </si>
  <si>
    <t>C000054</t>
  </si>
  <si>
    <t>1E94UQ7GG63</t>
  </si>
  <si>
    <t>11-04-1945</t>
  </si>
  <si>
    <t>Tubbs</t>
  </si>
  <si>
    <t>BD0015</t>
  </si>
  <si>
    <t>9RG6YC7UF88</t>
  </si>
  <si>
    <t>10-12-1945</t>
  </si>
  <si>
    <t>Jerry</t>
  </si>
  <si>
    <t>Arethas</t>
  </si>
  <si>
    <t>DB0062</t>
  </si>
  <si>
    <t>1FQ2XU5WH27</t>
  </si>
  <si>
    <t>02-23-1938</t>
  </si>
  <si>
    <t>Jungjung</t>
  </si>
  <si>
    <t>Mui</t>
  </si>
  <si>
    <t>DB0041</t>
  </si>
  <si>
    <t>1XJ4A32EK64</t>
  </si>
  <si>
    <t>02-25-1933</t>
  </si>
  <si>
    <t>Kar</t>
  </si>
  <si>
    <t>Lau</t>
  </si>
  <si>
    <t>DB0081</t>
  </si>
  <si>
    <t>9E88YT6MN66</t>
  </si>
  <si>
    <t>12-22-1941</t>
  </si>
  <si>
    <t>07-16-2025 11:46 AM</t>
  </si>
  <si>
    <t>Laipei</t>
  </si>
  <si>
    <t>Peng</t>
  </si>
  <si>
    <t>DB0089</t>
  </si>
  <si>
    <t>3MK9TT3NA37</t>
  </si>
  <si>
    <t>10-05-1934</t>
  </si>
  <si>
    <t>Li</t>
  </si>
  <si>
    <t>Zhong</t>
  </si>
  <si>
    <t>DB0075</t>
  </si>
  <si>
    <t>9QP3Q66CR02</t>
  </si>
  <si>
    <t>05-04-1950</t>
  </si>
  <si>
    <t>Lijuan</t>
  </si>
  <si>
    <t>DB0029</t>
  </si>
  <si>
    <t>106987890M</t>
  </si>
  <si>
    <t>11-26-1941</t>
  </si>
  <si>
    <t>Yuying</t>
  </si>
  <si>
    <t>Sun</t>
  </si>
  <si>
    <t>DB0042</t>
  </si>
  <si>
    <t>3QW0C26TA16</t>
  </si>
  <si>
    <t>05-26-1946</t>
  </si>
  <si>
    <t>07-20-2025 06:04 AM</t>
  </si>
  <si>
    <t>Zhaoxi</t>
  </si>
  <si>
    <t>DB0027</t>
  </si>
  <si>
    <t>9RV1T33FQ17</t>
  </si>
  <si>
    <t>07-01-1951</t>
  </si>
  <si>
    <t>07-20-2025 06:02 AM</t>
  </si>
  <si>
    <t>Zhenguo</t>
  </si>
  <si>
    <t>Qiu</t>
  </si>
  <si>
    <t>BD0050</t>
  </si>
  <si>
    <t>5PD0HT8PA41</t>
  </si>
  <si>
    <t>08-21-1934</t>
  </si>
  <si>
    <t>Andrew</t>
  </si>
  <si>
    <t>Almaraz</t>
  </si>
  <si>
    <t>[MIS200]</t>
  </si>
  <si>
    <t>4N13X48GF83</t>
  </si>
  <si>
    <t>Jan 17, 1966</t>
  </si>
  <si>
    <t>MISC</t>
  </si>
  <si>
    <t>1356714944</t>
  </si>
  <si>
    <t>verbal/jotform (written) 12/11/2025</t>
  </si>
  <si>
    <t>Chronic - I10, E78.5</t>
  </si>
  <si>
    <t>Lynette</t>
  </si>
  <si>
    <t>Simon</t>
  </si>
  <si>
    <t>[Mis0104]</t>
  </si>
  <si>
    <t>8KR0YM2FK39</t>
  </si>
  <si>
    <t>Jun 13, 1959</t>
  </si>
  <si>
    <t>1356714945</t>
  </si>
  <si>
    <t>SHERE</t>
  </si>
  <si>
    <t>FOSTER</t>
  </si>
  <si>
    <t>[Mis0105]</t>
  </si>
  <si>
    <t>8M58QG8JN54</t>
  </si>
  <si>
    <t>Feb 20, 1960</t>
  </si>
  <si>
    <t>1356714946</t>
  </si>
  <si>
    <t>Russell</t>
  </si>
  <si>
    <t>Townsend</t>
  </si>
  <si>
    <t>[Mis0107]</t>
  </si>
  <si>
    <t>9JU7HV8JW51</t>
  </si>
  <si>
    <t>Sep 04, 1963</t>
  </si>
  <si>
    <t>1356714947</t>
  </si>
  <si>
    <t>Eva</t>
  </si>
  <si>
    <t>Mitchell</t>
  </si>
  <si>
    <t>Janice</t>
  </si>
  <si>
    <t>[Mis0108]</t>
  </si>
  <si>
    <t>5x71A41PR00</t>
  </si>
  <si>
    <t>Feb 28, 1957</t>
  </si>
  <si>
    <t>1356714948</t>
  </si>
  <si>
    <t>MASAMUSA</t>
  </si>
  <si>
    <t>MALIK</t>
  </si>
  <si>
    <t>A</t>
  </si>
  <si>
    <t>[Mis0110]</t>
  </si>
  <si>
    <t>9U45X84CR86</t>
  </si>
  <si>
    <t>May 31, 1960</t>
  </si>
  <si>
    <t>1356714949</t>
  </si>
  <si>
    <t>Dennis</t>
  </si>
  <si>
    <t>Nowden</t>
  </si>
  <si>
    <t>[Mis0111]</t>
  </si>
  <si>
    <t>1RH4CH7WF99</t>
  </si>
  <si>
    <t>Nov 01, 1954</t>
  </si>
  <si>
    <t>1356714950</t>
  </si>
  <si>
    <t>Chronic - I10, F32.A</t>
  </si>
  <si>
    <t>Renee</t>
  </si>
  <si>
    <t>Prentiss</t>
  </si>
  <si>
    <t>[Mis0112]</t>
  </si>
  <si>
    <t>5CX7C60HT51</t>
  </si>
  <si>
    <t>1356714951</t>
  </si>
  <si>
    <t>Travis</t>
  </si>
  <si>
    <t>[Mis0113]</t>
  </si>
  <si>
    <t>9UY5WR9RP79</t>
  </si>
  <si>
    <t>1356714952</t>
  </si>
  <si>
    <t>Toleus</t>
  </si>
  <si>
    <t>McCullum</t>
  </si>
  <si>
    <t>[Mis0117]</t>
  </si>
  <si>
    <t>5G05A42PR52</t>
  </si>
  <si>
    <t>1356714953</t>
  </si>
  <si>
    <t>Chronic - I10,  F32.A</t>
  </si>
  <si>
    <t>Margaret</t>
  </si>
  <si>
    <t>Morris</t>
  </si>
  <si>
    <t>[Mis0120]</t>
  </si>
  <si>
    <t>4KF7CW7XP64</t>
  </si>
  <si>
    <t>1356714954</t>
  </si>
  <si>
    <t>Ida</t>
  </si>
  <si>
    <t>Motes</t>
  </si>
  <si>
    <t>[Mis0121]</t>
  </si>
  <si>
    <t>9GP0UJ7RT04</t>
  </si>
  <si>
    <t>1356714955</t>
  </si>
  <si>
    <t>Richard</t>
  </si>
  <si>
    <t>Whirl</t>
  </si>
  <si>
    <t>[Mis0122]</t>
  </si>
  <si>
    <t>9FJ9FG3FK34</t>
  </si>
  <si>
    <t>1356714956</t>
  </si>
  <si>
    <t>CLINTON</t>
  </si>
  <si>
    <t>JR</t>
  </si>
  <si>
    <t>SMITH</t>
  </si>
  <si>
    <t>[Mis0123]</t>
  </si>
  <si>
    <t>3HW8NM1TD57</t>
  </si>
  <si>
    <t>1356714957</t>
  </si>
  <si>
    <t>CHARLES</t>
  </si>
  <si>
    <t>MHOON</t>
  </si>
  <si>
    <t>EARL</t>
  </si>
  <si>
    <t>[Mis0131]</t>
  </si>
  <si>
    <t>2T72PK0WW22</t>
  </si>
  <si>
    <t>1356714958</t>
  </si>
  <si>
    <t>SHARON</t>
  </si>
  <si>
    <t>ADAMS</t>
  </si>
  <si>
    <t>[Mis0103]</t>
  </si>
  <si>
    <t>4Y70FW4AE10</t>
  </si>
  <si>
    <t>1356714959</t>
  </si>
  <si>
    <t>William</t>
  </si>
  <si>
    <t>Brown</t>
  </si>
  <si>
    <t>[MIS203]</t>
  </si>
  <si>
    <t>2AX3X21KF71</t>
  </si>
  <si>
    <t>1356714960</t>
  </si>
  <si>
    <t>Phillip</t>
  </si>
  <si>
    <t>[MIS201]</t>
  </si>
  <si>
    <t>4F67F40KE77</t>
  </si>
  <si>
    <t>1356714961</t>
  </si>
  <si>
    <t>JACK</t>
  </si>
  <si>
    <t>DAVIS</t>
  </si>
  <si>
    <t>[MIS206]</t>
  </si>
  <si>
    <t>8PJ2EC7UY85</t>
  </si>
  <si>
    <t>1356714962</t>
  </si>
  <si>
    <t>GREGORY</t>
  </si>
  <si>
    <t>CARTER</t>
  </si>
  <si>
    <t>[MIS207]</t>
  </si>
  <si>
    <t>6Q49KY5QA43</t>
  </si>
  <si>
    <t>1356714963</t>
  </si>
  <si>
    <t>Johnson</t>
  </si>
  <si>
    <t>[MIS208]</t>
  </si>
  <si>
    <t>5HM0UA8DJ25</t>
  </si>
  <si>
    <t>1356714964</t>
  </si>
  <si>
    <t>GILDA</t>
  </si>
  <si>
    <t>LASTER</t>
  </si>
  <si>
    <t>[MIS209]</t>
  </si>
  <si>
    <t>5P25FX9QJ60</t>
  </si>
  <si>
    <t>1356714965</t>
  </si>
  <si>
    <t>Martinez</t>
  </si>
  <si>
    <t>[MIS220]</t>
  </si>
  <si>
    <t>4GH5KH1RY64</t>
  </si>
  <si>
    <t>1356714966</t>
  </si>
  <si>
    <t>Larry</t>
  </si>
  <si>
    <t>Hood</t>
  </si>
  <si>
    <t>[MIS121]</t>
  </si>
  <si>
    <t>7EG4EY1HC74</t>
  </si>
  <si>
    <t>1356714967</t>
  </si>
  <si>
    <t>Marshall</t>
  </si>
  <si>
    <t>OLIPHANT</t>
  </si>
  <si>
    <t>[Mis0133]</t>
  </si>
  <si>
    <t>8XM3WV4UK76</t>
  </si>
  <si>
    <t>1356714968</t>
  </si>
  <si>
    <t>ameshia</t>
  </si>
  <si>
    <t>Odom</t>
  </si>
  <si>
    <t>[Mis0134]</t>
  </si>
  <si>
    <t>3AF0P17HV19</t>
  </si>
  <si>
    <t>1356714969</t>
  </si>
  <si>
    <t>Ray</t>
  </si>
  <si>
    <t>king</t>
  </si>
  <si>
    <t>[Mis0136]</t>
  </si>
  <si>
    <t>5K19W21EK57</t>
  </si>
  <si>
    <t>1356714970</t>
  </si>
  <si>
    <t>baity</t>
  </si>
  <si>
    <t>[Mis0137]</t>
  </si>
  <si>
    <t>4EJ8GT1UH22</t>
  </si>
  <si>
    <t>1356714971</t>
  </si>
  <si>
    <t>SAMUEL</t>
  </si>
  <si>
    <t>COUCH</t>
  </si>
  <si>
    <t>[Mis0145]</t>
  </si>
  <si>
    <t>6FG9FG4UP35</t>
  </si>
  <si>
    <t>1356714972</t>
  </si>
  <si>
    <t>RICHARD</t>
  </si>
  <si>
    <t>COLLINS</t>
  </si>
  <si>
    <t>[Mis0146]</t>
  </si>
  <si>
    <t>6G71AN1EK04</t>
  </si>
  <si>
    <t>1356714973</t>
  </si>
  <si>
    <t>ANTHONY</t>
  </si>
  <si>
    <t>HOWARD</t>
  </si>
  <si>
    <t>M</t>
  </si>
  <si>
    <t>[Mis0062]</t>
  </si>
  <si>
    <t>1C41V89KN93</t>
  </si>
  <si>
    <t>1356714974</t>
  </si>
  <si>
    <t>Cecilia</t>
  </si>
  <si>
    <t>[C000086]</t>
  </si>
  <si>
    <t>Segura</t>
  </si>
  <si>
    <t>9QG2AY7GQ26</t>
  </si>
  <si>
    <t>1356714976</t>
  </si>
  <si>
    <t>Willie</t>
  </si>
  <si>
    <t>Jr</t>
  </si>
  <si>
    <t>Rogers</t>
  </si>
  <si>
    <t>[Mis0005]</t>
  </si>
  <si>
    <t>1PH4G45TA04</t>
  </si>
  <si>
    <t>1356714978</t>
  </si>
  <si>
    <t>AMALIA</t>
  </si>
  <si>
    <t>CORTEZ</t>
  </si>
  <si>
    <t>[Mis0006]</t>
  </si>
  <si>
    <t>9JQ4D79UX99</t>
  </si>
  <si>
    <t>1356714979</t>
  </si>
  <si>
    <t>Beaty</t>
  </si>
  <si>
    <t>[Mis0011]</t>
  </si>
  <si>
    <t>5EN9XJ7YX37</t>
  </si>
  <si>
    <t>1356714980</t>
  </si>
  <si>
    <t>Christine</t>
  </si>
  <si>
    <t>Kimble</t>
  </si>
  <si>
    <t>[Mis0013]</t>
  </si>
  <si>
    <t>7QE6KJ6DQ54</t>
  </si>
  <si>
    <t>1356714981</t>
  </si>
  <si>
    <t>TORRIE</t>
  </si>
  <si>
    <t>FARRELL</t>
  </si>
  <si>
    <t>[Mis0019]</t>
  </si>
  <si>
    <t>2JG0T49YG10</t>
  </si>
  <si>
    <t>1356714982</t>
  </si>
  <si>
    <t>JUANITA</t>
  </si>
  <si>
    <t>MCCAMURY</t>
  </si>
  <si>
    <t>[Mis0034]</t>
  </si>
  <si>
    <t>3UR9R85YR45</t>
  </si>
  <si>
    <t>1356714983</t>
  </si>
  <si>
    <t>SHERMAN</t>
  </si>
  <si>
    <t>JOHNSON</t>
  </si>
  <si>
    <t>[Mis0036]</t>
  </si>
  <si>
    <t>7C95VG3NK95</t>
  </si>
  <si>
    <t>1356714984</t>
  </si>
  <si>
    <t>EDWARD</t>
  </si>
  <si>
    <t>MARTIN</t>
  </si>
  <si>
    <t>[Mis0042]</t>
  </si>
  <si>
    <t>6YY5QF8VN98</t>
  </si>
  <si>
    <t>1356714985</t>
  </si>
  <si>
    <t>OSCAR</t>
  </si>
  <si>
    <t>LOVE</t>
  </si>
  <si>
    <t>[Mis0056]</t>
  </si>
  <si>
    <t>4AG4VW6VU09</t>
  </si>
  <si>
    <t>1356714986</t>
  </si>
  <si>
    <t>RAWLS</t>
  </si>
  <si>
    <t>[Mis0058]</t>
  </si>
  <si>
    <t>2GQ3TH6UU06</t>
  </si>
  <si>
    <t>1356714987</t>
  </si>
  <si>
    <t>PAMELA</t>
  </si>
  <si>
    <t>WARD</t>
  </si>
  <si>
    <t>N</t>
  </si>
  <si>
    <t>[Mis0060]</t>
  </si>
  <si>
    <t>1P95W09AP89</t>
  </si>
  <si>
    <t>1356714988</t>
  </si>
  <si>
    <t>Veronica</t>
  </si>
  <si>
    <t>Stansberry</t>
  </si>
  <si>
    <t>[Mis0063]</t>
  </si>
  <si>
    <t>1AG7YWOFT77</t>
  </si>
  <si>
    <t>1356714990</t>
  </si>
  <si>
    <t>Sheila</t>
  </si>
  <si>
    <t>Belanger</t>
  </si>
  <si>
    <t>[Mis0064]</t>
  </si>
  <si>
    <t>9VH6WY6VM54</t>
  </si>
  <si>
    <t>1356714991</t>
  </si>
  <si>
    <t>Rochelle</t>
  </si>
  <si>
    <t>[Mis0069]</t>
  </si>
  <si>
    <t>7TK5TN8KP60</t>
  </si>
  <si>
    <t>1356714992</t>
  </si>
  <si>
    <t>Marvin</t>
  </si>
  <si>
    <t>Fleming</t>
  </si>
  <si>
    <t>LEE</t>
  </si>
  <si>
    <t>[Mis0070]</t>
  </si>
  <si>
    <t>1AW1GT5XH11</t>
  </si>
  <si>
    <t>1356714993</t>
  </si>
  <si>
    <t>LYNDA</t>
  </si>
  <si>
    <t>NELSON</t>
  </si>
  <si>
    <t>ARTHUR</t>
  </si>
  <si>
    <t>[Mis0071]</t>
  </si>
  <si>
    <t>1X65WH1KT89</t>
  </si>
  <si>
    <t>1356714994</t>
  </si>
  <si>
    <t>Benita</t>
  </si>
  <si>
    <t>[Mis0072]</t>
  </si>
  <si>
    <t>7U89-U62-MK15</t>
  </si>
  <si>
    <t>1356714995</t>
  </si>
  <si>
    <t>Tina</t>
  </si>
  <si>
    <t>ANDREWS</t>
  </si>
  <si>
    <t>[Mis0079]</t>
  </si>
  <si>
    <t>9GC6HG1YM79</t>
  </si>
  <si>
    <t>1356714996</t>
  </si>
  <si>
    <t>Michael</t>
  </si>
  <si>
    <t>Isaac</t>
  </si>
  <si>
    <t>L</t>
  </si>
  <si>
    <t>[Mis0092]</t>
  </si>
  <si>
    <t>4FG9U40KT47</t>
  </si>
  <si>
    <t>1356714997</t>
  </si>
  <si>
    <t>Anthony</t>
  </si>
  <si>
    <t>Rodgers</t>
  </si>
  <si>
    <t>[Mis0093]</t>
  </si>
  <si>
    <t>2FY7GC2QE51</t>
  </si>
  <si>
    <t>1356714998</t>
  </si>
  <si>
    <t>Washington</t>
  </si>
  <si>
    <t>[Mis0095]</t>
  </si>
  <si>
    <t>8TA6F12KT73</t>
  </si>
  <si>
    <t>1356714999</t>
  </si>
  <si>
    <t>Bernisteen</t>
  </si>
  <si>
    <t>Sofowora</t>
  </si>
  <si>
    <t>[Mis0096]</t>
  </si>
  <si>
    <t>5AE4WC1ET76</t>
  </si>
  <si>
    <t>1356715000</t>
  </si>
  <si>
    <t>TOMMY</t>
  </si>
  <si>
    <t>CALDWELL</t>
  </si>
  <si>
    <t>[Mis0097]</t>
  </si>
  <si>
    <t>4Y32VF5TR95</t>
  </si>
  <si>
    <t>1356715001</t>
  </si>
  <si>
    <t>ELARRIA</t>
  </si>
  <si>
    <t>HILL</t>
  </si>
  <si>
    <t>[Mis0100]</t>
  </si>
  <si>
    <t>7H04V59FJ96</t>
  </si>
  <si>
    <t>1356715002</t>
  </si>
  <si>
    <t>ELZINA</t>
  </si>
  <si>
    <t>[Mis0101]</t>
  </si>
  <si>
    <t>5NY4R79KK06</t>
  </si>
  <si>
    <t>1356715003</t>
  </si>
  <si>
    <t>[SAL0002]</t>
  </si>
  <si>
    <t>Stacey</t>
  </si>
  <si>
    <t>Whitehead</t>
  </si>
  <si>
    <t>Castillo</t>
  </si>
  <si>
    <t>[Mis0003]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</si>
</sst>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 h:mm am/pm"/>
    <numFmt numFmtId="165" formatCode="mmm d, yyyy"/>
    <numFmt numFmtId="166" formatCode="mmm dd, yyyy"/>
    <numFmt numFmtId="167" formatCode="mmmm d, yyyy"/>
    <numFmt numFmtId="168" formatCode="mmmm dd, yyyy"/>
  </numFmts>
  <fonts count="10">
    <font>
      <sz val="11.0"/>
      <color rgb="FF000000"/>
      <name val="Calibri"/>
      <scheme val="minor"/>
    </font>
    <font>
      <sz val="11.0"/>
      <color rgb="FF000000"/>
      <name val="Arial"/>
    </font>
    <font/>
    <font>
      <sz val="11.0"/>
      <color rgb="FF000000"/>
      <name val="Calibri"/>
    </font>
    <font>
      <sz val="10.0"/>
      <color rgb="FF000000"/>
      <name val="Arial"/>
    </font>
    <font>
      <sz val="10.0"/>
      <color rgb="FFFF0000"/>
      <name val="Arial"/>
    </font>
    <font>
      <sz val="12.0"/>
      <color rgb="FF000000"/>
      <name val="Calibri"/>
    </font>
    <font>
      <sz val="8.0"/>
      <color rgb="FF000000"/>
      <name val="Helvetica Neue"/>
    </font>
    <font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4">
    <border/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AAAAA"/>
      </right>
    </border>
    <border>
      <left style="thin">
        <color rgb="FFAAAAAA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shrinkToFit="0" vertical="bottom" wrapText="1"/>
    </xf>
    <xf borderId="6" fillId="0" fontId="2" numFmtId="0" xfId="0" applyBorder="1" applyFont="1"/>
    <xf borderId="7" fillId="0" fontId="2" numFmtId="0" xfId="0" applyBorder="1" applyFont="1"/>
    <xf borderId="4" fillId="2" fontId="3" numFmtId="46" xfId="0" applyAlignment="1" applyBorder="1" applyFont="1" applyNumberFormat="1">
      <alignment vertical="bottom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3" fontId="3" numFmtId="0" xfId="0" applyAlignment="1" applyBorder="1" applyFill="1" applyFont="1">
      <alignment vertical="bottom"/>
    </xf>
    <xf borderId="4" fillId="3" fontId="3" numFmtId="46" xfId="0" applyAlignment="1" applyBorder="1" applyFont="1" applyNumberFormat="1">
      <alignment vertical="bottom"/>
    </xf>
    <xf borderId="4" fillId="4" fontId="3" numFmtId="0" xfId="0" applyAlignment="1" applyBorder="1" applyFill="1" applyFont="1">
      <alignment vertical="bottom"/>
    </xf>
    <xf borderId="4" fillId="4" fontId="3" numFmtId="46" xfId="0" applyAlignment="1" applyBorder="1" applyFont="1" applyNumberFormat="1">
      <alignment vertical="bottom"/>
    </xf>
    <xf borderId="4" fillId="3" fontId="4" numFmtId="49" xfId="0" applyAlignment="1" applyBorder="1" applyFont="1" applyNumberFormat="1">
      <alignment horizontal="center" vertical="center"/>
    </xf>
    <xf borderId="4" fillId="3" fontId="4" numFmtId="46" xfId="0" applyAlignment="1" applyBorder="1" applyFont="1" applyNumberFormat="1">
      <alignment horizontal="center" vertical="center"/>
    </xf>
    <xf borderId="4" fillId="3" fontId="5" numFmtId="49" xfId="0" applyAlignment="1" applyBorder="1" applyFont="1" applyNumberFormat="1">
      <alignment horizontal="center" vertical="center"/>
    </xf>
    <xf borderId="4" fillId="3" fontId="3" numFmtId="49" xfId="0" applyAlignment="1" applyBorder="1" applyFont="1" applyNumberFormat="1">
      <alignment vertical="bottom"/>
    </xf>
    <xf borderId="4" fillId="3" fontId="3" numFmtId="49" xfId="0" applyAlignment="1" applyBorder="1" applyFont="1" applyNumberFormat="1">
      <alignment shrinkToFit="0" vertical="bottom" wrapText="1"/>
    </xf>
    <xf borderId="4" fillId="4" fontId="3" numFmtId="49" xfId="0" applyAlignment="1" applyBorder="1" applyFont="1" applyNumberFormat="1">
      <alignment readingOrder="0" vertical="bottom"/>
    </xf>
    <xf borderId="4" fillId="4" fontId="6" numFmtId="46" xfId="0" applyAlignment="1" applyBorder="1" applyFont="1" applyNumberFormat="1">
      <alignment vertical="bottom"/>
    </xf>
    <xf borderId="4" fillId="3" fontId="5" numFmtId="0" xfId="0" applyAlignment="1" applyBorder="1" applyFont="1">
      <alignment horizontal="center" vertical="center"/>
    </xf>
    <xf borderId="4" fillId="3" fontId="3" numFmtId="0" xfId="0" applyAlignment="1" applyBorder="1" applyFont="1">
      <alignment shrinkToFit="0" vertical="bottom" wrapText="1"/>
    </xf>
    <xf borderId="4" fillId="4" fontId="3" numFmtId="49" xfId="0" applyAlignment="1" applyBorder="1" applyFont="1" applyNumberFormat="1">
      <alignment vertical="bottom"/>
    </xf>
    <xf borderId="4" fillId="4" fontId="3" numFmtId="49" xfId="0" applyAlignment="1" applyBorder="1" applyFont="1" applyNumberFormat="1">
      <alignment shrinkToFit="0" vertical="bottom" wrapText="1"/>
    </xf>
    <xf borderId="4" fillId="4" fontId="5" numFmtId="0" xfId="0" applyAlignment="1" applyBorder="1" applyFont="1">
      <alignment horizontal="center" vertical="center"/>
    </xf>
    <xf borderId="4" fillId="4" fontId="3" numFmtId="0" xfId="0" applyAlignment="1" applyBorder="1" applyFont="1">
      <alignment shrinkToFit="0" vertical="bottom" wrapText="1"/>
    </xf>
    <xf borderId="4" fillId="4" fontId="3" numFmtId="164" xfId="0" applyAlignment="1" applyBorder="1" applyFont="1" applyNumberFormat="1">
      <alignment vertical="bottom"/>
    </xf>
    <xf borderId="11" fillId="0" fontId="7" numFmtId="0" xfId="0" applyAlignment="1" applyBorder="1" applyFont="1">
      <alignment vertical="top"/>
    </xf>
    <xf borderId="11" fillId="0" fontId="7" numFmtId="49" xfId="0" applyAlignment="1" applyBorder="1" applyFont="1" applyNumberFormat="1">
      <alignment vertical="top"/>
    </xf>
    <xf borderId="11" fillId="0" fontId="7" numFmtId="165" xfId="0" applyAlignment="1" applyBorder="1" applyFont="1" applyNumberFormat="1">
      <alignment vertical="top"/>
    </xf>
    <xf borderId="2" fillId="3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11" fillId="0" fontId="7" numFmtId="166" xfId="0" applyAlignment="1" applyBorder="1" applyFont="1" applyNumberFormat="1">
      <alignment vertical="top"/>
    </xf>
    <xf borderId="0" fillId="4" fontId="3" numFmtId="0" xfId="0" applyAlignment="1" applyFont="1">
      <alignment vertical="bottom"/>
    </xf>
    <xf borderId="12" fillId="4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12" fillId="3" fontId="3" numFmtId="0" xfId="0" applyAlignment="1" applyBorder="1" applyFont="1">
      <alignment vertical="bottom"/>
    </xf>
    <xf borderId="11" fillId="0" fontId="7" numFmtId="167" xfId="0" applyAlignment="1" applyBorder="1" applyFont="1" applyNumberFormat="1">
      <alignment vertical="top"/>
    </xf>
    <xf borderId="11" fillId="0" fontId="7" numFmtId="168" xfId="0" applyAlignment="1" applyBorder="1" applyFont="1" applyNumberFormat="1">
      <alignment vertical="top"/>
    </xf>
    <xf borderId="11" fillId="0" fontId="8" numFmtId="0" xfId="0" applyAlignment="1" applyBorder="1" applyFont="1">
      <alignment vertical="top"/>
    </xf>
    <xf borderId="13" fillId="4" fontId="3" numFmtId="0" xfId="0" applyAlignment="1" applyBorder="1" applyFont="1">
      <alignment vertical="bottom"/>
    </xf>
    <xf borderId="0" fillId="4" fontId="3" numFmtId="46" xfId="0" applyAlignment="1" applyFont="1" applyNumberFormat="1">
      <alignment vertical="bottom"/>
    </xf>
    <xf borderId="13" fillId="3" fontId="3" numFmtId="0" xfId="0" applyAlignment="1" applyBorder="1" applyFont="1">
      <alignment vertical="bottom"/>
    </xf>
    <xf borderId="0" fillId="3" fontId="3" numFmtId="46" xfId="0" applyAlignment="1" applyFont="1" applyNumberFormat="1">
      <alignment vertical="bottom"/>
    </xf>
    <xf borderId="0" fillId="0" fontId="9" numFmtId="46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20.86"/>
    <col customWidth="1" min="3" max="3" width="18.43"/>
    <col customWidth="1" min="4" max="4" width="9.86"/>
    <col customWidth="1" min="5" max="5" width="24.29"/>
    <col customWidth="1" min="6" max="6" width="26.29"/>
    <col customWidth="1" min="7" max="7" width="26.86"/>
    <col customWidth="1" min="8" max="8" width="28.86"/>
    <col customWidth="1" min="9" max="9" width="78.14"/>
    <col customWidth="1" min="10" max="10" width="14.71"/>
    <col customWidth="1" min="11" max="11" width="13.43"/>
    <col customWidth="1" min="12" max="12" width="139.29"/>
    <col customWidth="1" min="13" max="13" width="19.71"/>
    <col customWidth="1" min="14" max="14" width="20.14"/>
    <col customWidth="1" min="15" max="15" width="27.29"/>
    <col customWidth="1" min="16" max="16" width="25.14"/>
    <col customWidth="1" min="20" max="20" width="17.86"/>
    <col customWidth="1" min="22" max="22" width="22.0"/>
    <col customWidth="1" min="23" max="23" width="22.29"/>
    <col customWidth="1" min="24" max="24" width="10.0"/>
    <col customWidth="1" min="25" max="25" width="20.14"/>
    <col customWidth="1" min="26" max="26" width="36.14"/>
    <col customWidth="1" min="27" max="27" width="124.86"/>
    <col customWidth="1" min="28" max="28" width="26.0"/>
    <col customWidth="1" min="29" max="29" width="23.43"/>
    <col customWidth="1" min="30" max="30" width="82.0"/>
    <col customWidth="1" min="31" max="31" width="35.86"/>
    <col customWidth="1" min="32" max="32" width="62.86"/>
    <col customWidth="1" min="33" max="42" width="8.86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5"/>
      <c r="R1" s="6"/>
      <c r="S1" s="6"/>
      <c r="T1" s="6"/>
      <c r="U1" s="7"/>
      <c r="V1" s="8"/>
      <c r="W1" s="4"/>
      <c r="X1" s="4"/>
      <c r="Y1" s="8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3.5" customHeight="1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3"/>
      <c r="U2" s="13"/>
      <c r="V2" s="13"/>
      <c r="W2" s="12"/>
      <c r="X2" s="12"/>
      <c r="Y2" s="13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ht="13.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5"/>
      <c r="S3" s="15"/>
      <c r="T3" s="14"/>
      <c r="U3" s="14"/>
      <c r="V3" s="15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ht="13.5" customHeight="1">
      <c r="A4" s="16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7" t="s">
        <v>17</v>
      </c>
      <c r="R4" s="17" t="s">
        <v>18</v>
      </c>
      <c r="S4" s="17" t="s">
        <v>19</v>
      </c>
      <c r="T4" s="16" t="s">
        <v>20</v>
      </c>
      <c r="U4" s="16" t="s">
        <v>21</v>
      </c>
      <c r="V4" s="17" t="s">
        <v>22</v>
      </c>
      <c r="W4" s="16" t="s">
        <v>23</v>
      </c>
      <c r="X4" s="16" t="s">
        <v>24</v>
      </c>
      <c r="Y4" s="16" t="s">
        <v>25</v>
      </c>
      <c r="Z4" s="16" t="s">
        <v>26</v>
      </c>
      <c r="AA4" s="18" t="s">
        <v>27</v>
      </c>
      <c r="AB4" s="16" t="s">
        <v>28</v>
      </c>
      <c r="AC4" s="16" t="s">
        <v>29</v>
      </c>
      <c r="AD4" s="16" t="s">
        <v>30</v>
      </c>
      <c r="AE4" s="16" t="s">
        <v>31</v>
      </c>
      <c r="AF4" s="16" t="s">
        <v>32</v>
      </c>
      <c r="AG4" s="16" t="s">
        <v>33</v>
      </c>
      <c r="AH4" s="16" t="s">
        <v>34</v>
      </c>
      <c r="AI4" s="16" t="s">
        <v>35</v>
      </c>
      <c r="AJ4" s="16" t="s">
        <v>36</v>
      </c>
      <c r="AK4" s="16" t="s">
        <v>37</v>
      </c>
      <c r="AL4" s="16" t="s">
        <v>38</v>
      </c>
      <c r="AM4" s="16" t="s">
        <v>39</v>
      </c>
    </row>
    <row r="5" ht="52.5" customHeight="1">
      <c r="A5" s="19" t="s">
        <v>40</v>
      </c>
      <c r="B5" s="12"/>
      <c r="C5" s="19" t="s">
        <v>41</v>
      </c>
      <c r="D5" s="19" t="s">
        <v>42</v>
      </c>
      <c r="E5" s="19" t="s">
        <v>43</v>
      </c>
      <c r="F5" s="19" t="s">
        <v>44</v>
      </c>
      <c r="G5" s="19" t="s">
        <v>45</v>
      </c>
      <c r="H5" s="19" t="s">
        <v>46</v>
      </c>
      <c r="I5" s="20" t="s">
        <v>47</v>
      </c>
      <c r="J5" s="19" t="s">
        <v>48</v>
      </c>
      <c r="K5" s="19" t="s">
        <v>49</v>
      </c>
      <c r="L5" s="19" t="s">
        <v>50</v>
      </c>
      <c r="M5" s="19" t="s">
        <v>51</v>
      </c>
      <c r="N5" s="19" t="s">
        <v>51</v>
      </c>
      <c r="O5" s="19" t="s">
        <v>52</v>
      </c>
      <c r="P5" s="21" t="s">
        <v>53</v>
      </c>
      <c r="Q5" s="22">
        <v>0.04097222222222222</v>
      </c>
      <c r="R5" s="13">
        <v>0.027777777777777776</v>
      </c>
      <c r="S5" s="13">
        <f>TIMEVALUE(Q5+R5)</f>
        <v>0.06875</v>
      </c>
      <c r="T5" s="19" t="s">
        <v>54</v>
      </c>
      <c r="U5" s="19" t="s">
        <v>55</v>
      </c>
      <c r="V5" s="13">
        <f t="shared" ref="V5:V189" si="1">Q5+R5</f>
        <v>0.06875</v>
      </c>
      <c r="W5" s="19" t="s">
        <v>56</v>
      </c>
      <c r="X5" s="20" t="s">
        <v>57</v>
      </c>
      <c r="Y5" s="19" t="s">
        <v>58</v>
      </c>
      <c r="Z5" s="12"/>
      <c r="AA5" s="23"/>
      <c r="AB5" s="20" t="s">
        <v>45</v>
      </c>
      <c r="AC5" s="24"/>
      <c r="AD5" s="19" t="s">
        <v>59</v>
      </c>
      <c r="AE5" s="19" t="s">
        <v>60</v>
      </c>
      <c r="AF5" s="19" t="s">
        <v>61</v>
      </c>
      <c r="AG5" s="19" t="s">
        <v>62</v>
      </c>
      <c r="AH5" s="19" t="s">
        <v>63</v>
      </c>
      <c r="AI5" s="19" t="s">
        <v>64</v>
      </c>
      <c r="AJ5" s="12"/>
      <c r="AK5" s="12"/>
      <c r="AL5" s="12"/>
      <c r="AM5" s="12"/>
    </row>
    <row r="6" ht="39.0" customHeight="1">
      <c r="A6" s="25" t="s">
        <v>40</v>
      </c>
      <c r="B6" s="14"/>
      <c r="C6" s="25" t="s">
        <v>41</v>
      </c>
      <c r="D6" s="25" t="s">
        <v>42</v>
      </c>
      <c r="E6" s="25" t="s">
        <v>43</v>
      </c>
      <c r="F6" s="25" t="s">
        <v>44</v>
      </c>
      <c r="G6" s="25" t="s">
        <v>45</v>
      </c>
      <c r="H6" s="25" t="s">
        <v>46</v>
      </c>
      <c r="I6" s="26" t="s">
        <v>47</v>
      </c>
      <c r="J6" s="25" t="s">
        <v>48</v>
      </c>
      <c r="K6" s="25" t="s">
        <v>49</v>
      </c>
      <c r="L6" s="25" t="s">
        <v>50</v>
      </c>
      <c r="M6" s="25" t="s">
        <v>51</v>
      </c>
      <c r="N6" s="25" t="s">
        <v>51</v>
      </c>
      <c r="O6" s="25" t="s">
        <v>52</v>
      </c>
      <c r="P6" s="21" t="s">
        <v>53</v>
      </c>
      <c r="Q6" s="22">
        <v>0.04097222222222222</v>
      </c>
      <c r="R6" s="13">
        <v>0.027777777777777776</v>
      </c>
      <c r="S6" s="15">
        <f>Q6+R6</f>
        <v>0.06875</v>
      </c>
      <c r="T6" s="25" t="s">
        <v>54</v>
      </c>
      <c r="U6" s="14"/>
      <c r="V6" s="13">
        <f t="shared" si="1"/>
        <v>0.06875</v>
      </c>
      <c r="W6" s="19" t="s">
        <v>56</v>
      </c>
      <c r="X6" s="20" t="s">
        <v>57</v>
      </c>
      <c r="Y6" s="25" t="s">
        <v>65</v>
      </c>
      <c r="Z6" s="14"/>
      <c r="AA6" s="27"/>
      <c r="AB6" s="26" t="s">
        <v>45</v>
      </c>
      <c r="AC6" s="28"/>
      <c r="AD6" s="25" t="s">
        <v>59</v>
      </c>
      <c r="AE6" s="25" t="s">
        <v>60</v>
      </c>
      <c r="AF6" s="25" t="s">
        <v>61</v>
      </c>
      <c r="AG6" s="25" t="s">
        <v>62</v>
      </c>
      <c r="AH6" s="25" t="s">
        <v>63</v>
      </c>
      <c r="AI6" s="25" t="s">
        <v>64</v>
      </c>
      <c r="AJ6" s="14"/>
      <c r="AK6" s="14"/>
      <c r="AL6" s="14"/>
      <c r="AM6" s="14"/>
    </row>
    <row r="7" ht="39.0" customHeight="1">
      <c r="A7" s="25" t="s">
        <v>66</v>
      </c>
      <c r="B7" s="14"/>
      <c r="C7" s="25" t="s">
        <v>67</v>
      </c>
      <c r="D7" s="25" t="s">
        <v>68</v>
      </c>
      <c r="E7" s="25" t="s">
        <v>43</v>
      </c>
      <c r="F7" s="25" t="s">
        <v>69</v>
      </c>
      <c r="G7" s="25" t="s">
        <v>45</v>
      </c>
      <c r="H7" s="25" t="s">
        <v>70</v>
      </c>
      <c r="I7" s="26" t="s">
        <v>71</v>
      </c>
      <c r="J7" s="25" t="s">
        <v>48</v>
      </c>
      <c r="K7" s="25" t="s">
        <v>49</v>
      </c>
      <c r="L7" s="25" t="s">
        <v>50</v>
      </c>
      <c r="M7" s="25" t="s">
        <v>51</v>
      </c>
      <c r="N7" s="25" t="s">
        <v>51</v>
      </c>
      <c r="O7" s="25" t="s">
        <v>52</v>
      </c>
      <c r="P7" s="21" t="s">
        <v>53</v>
      </c>
      <c r="Q7" s="22">
        <v>0.04097222222222222</v>
      </c>
      <c r="R7" s="13">
        <v>0.027777777777777776</v>
      </c>
      <c r="S7" s="13">
        <f>TIMEVALUE(Q7+R7)</f>
        <v>0.06875</v>
      </c>
      <c r="T7" s="25" t="s">
        <v>54</v>
      </c>
      <c r="U7" s="25" t="s">
        <v>72</v>
      </c>
      <c r="V7" s="13">
        <f t="shared" si="1"/>
        <v>0.06875</v>
      </c>
      <c r="W7" s="19" t="s">
        <v>56</v>
      </c>
      <c r="X7" s="20" t="s">
        <v>57</v>
      </c>
      <c r="Y7" s="25" t="s">
        <v>73</v>
      </c>
      <c r="Z7" s="14"/>
      <c r="AA7" s="27"/>
      <c r="AB7" s="26" t="s">
        <v>45</v>
      </c>
      <c r="AC7" s="28"/>
      <c r="AD7" s="25" t="s">
        <v>63</v>
      </c>
      <c r="AE7" s="14"/>
      <c r="AF7" s="14"/>
      <c r="AG7" s="14"/>
      <c r="AH7" s="14"/>
      <c r="AI7" s="14"/>
      <c r="AJ7" s="14"/>
      <c r="AK7" s="14"/>
      <c r="AL7" s="14"/>
      <c r="AM7" s="14"/>
    </row>
    <row r="8" ht="65.25" customHeight="1">
      <c r="A8" s="19" t="s">
        <v>66</v>
      </c>
      <c r="B8" s="12"/>
      <c r="C8" s="19" t="s">
        <v>67</v>
      </c>
      <c r="D8" s="19" t="s">
        <v>68</v>
      </c>
      <c r="E8" s="19" t="s">
        <v>43</v>
      </c>
      <c r="F8" s="19" t="s">
        <v>69</v>
      </c>
      <c r="G8" s="19" t="s">
        <v>45</v>
      </c>
      <c r="H8" s="19" t="s">
        <v>70</v>
      </c>
      <c r="I8" s="20" t="s">
        <v>71</v>
      </c>
      <c r="J8" s="19" t="s">
        <v>48</v>
      </c>
      <c r="K8" s="19" t="s">
        <v>49</v>
      </c>
      <c r="L8" s="19" t="s">
        <v>50</v>
      </c>
      <c r="M8" s="19" t="s">
        <v>51</v>
      </c>
      <c r="N8" s="19" t="s">
        <v>51</v>
      </c>
      <c r="O8" s="19" t="s">
        <v>52</v>
      </c>
      <c r="P8" s="21" t="s">
        <v>53</v>
      </c>
      <c r="Q8" s="22">
        <v>0.04097222222222222</v>
      </c>
      <c r="R8" s="13">
        <v>0.027777777777777776</v>
      </c>
      <c r="S8" s="15">
        <f>Q8+R8</f>
        <v>0.06875</v>
      </c>
      <c r="T8" s="19" t="s">
        <v>54</v>
      </c>
      <c r="U8" s="12"/>
      <c r="V8" s="13">
        <f t="shared" si="1"/>
        <v>0.06875</v>
      </c>
      <c r="W8" s="19" t="s">
        <v>56</v>
      </c>
      <c r="X8" s="20" t="s">
        <v>57</v>
      </c>
      <c r="Y8" s="19" t="s">
        <v>74</v>
      </c>
      <c r="Z8" s="12"/>
      <c r="AA8" s="23"/>
      <c r="AB8" s="20" t="s">
        <v>45</v>
      </c>
      <c r="AC8" s="24"/>
      <c r="AD8" s="19" t="s">
        <v>63</v>
      </c>
      <c r="AE8" s="12"/>
      <c r="AF8" s="12"/>
      <c r="AG8" s="12"/>
      <c r="AH8" s="12"/>
      <c r="AI8" s="12"/>
      <c r="AJ8" s="12"/>
      <c r="AK8" s="12"/>
      <c r="AL8" s="12"/>
      <c r="AM8" s="12"/>
    </row>
    <row r="9" ht="65.25" customHeight="1">
      <c r="A9" s="19" t="s">
        <v>75</v>
      </c>
      <c r="B9" s="12"/>
      <c r="C9" s="19" t="s">
        <v>76</v>
      </c>
      <c r="D9" s="19" t="s">
        <v>77</v>
      </c>
      <c r="E9" s="19" t="s">
        <v>43</v>
      </c>
      <c r="F9" s="19" t="s">
        <v>78</v>
      </c>
      <c r="G9" s="19" t="s">
        <v>45</v>
      </c>
      <c r="H9" s="19" t="s">
        <v>79</v>
      </c>
      <c r="I9" s="20" t="s">
        <v>80</v>
      </c>
      <c r="J9" s="19" t="s">
        <v>48</v>
      </c>
      <c r="K9" s="19" t="s">
        <v>49</v>
      </c>
      <c r="L9" s="19" t="s">
        <v>50</v>
      </c>
      <c r="M9" s="19" t="s">
        <v>51</v>
      </c>
      <c r="N9" s="19" t="s">
        <v>51</v>
      </c>
      <c r="O9" s="19" t="s">
        <v>52</v>
      </c>
      <c r="P9" s="21" t="s">
        <v>53</v>
      </c>
      <c r="Q9" s="22">
        <v>0.04097222222222222</v>
      </c>
      <c r="R9" s="13">
        <v>0.027777777777777776</v>
      </c>
      <c r="S9" s="13">
        <f t="shared" ref="S9:S10" si="2">TIMEVALUE(Q9+R9)</f>
        <v>0.06875</v>
      </c>
      <c r="T9" s="19" t="s">
        <v>54</v>
      </c>
      <c r="U9" s="19" t="s">
        <v>72</v>
      </c>
      <c r="V9" s="13">
        <f t="shared" si="1"/>
        <v>0.06875</v>
      </c>
      <c r="W9" s="19" t="s">
        <v>56</v>
      </c>
      <c r="X9" s="20" t="s">
        <v>57</v>
      </c>
      <c r="Y9" s="19" t="s">
        <v>73</v>
      </c>
      <c r="Z9" s="12"/>
      <c r="AA9" s="23"/>
      <c r="AB9" s="20" t="s">
        <v>45</v>
      </c>
      <c r="AC9" s="24"/>
      <c r="AD9" s="19" t="s">
        <v>63</v>
      </c>
      <c r="AE9" s="19" t="s">
        <v>81</v>
      </c>
      <c r="AF9" s="19" t="s">
        <v>82</v>
      </c>
      <c r="AG9" s="19" t="s">
        <v>83</v>
      </c>
      <c r="AH9" s="19" t="s">
        <v>84</v>
      </c>
      <c r="AI9" s="19" t="s">
        <v>85</v>
      </c>
      <c r="AJ9" s="19" t="s">
        <v>86</v>
      </c>
      <c r="AK9" s="12"/>
      <c r="AL9" s="12"/>
      <c r="AM9" s="12"/>
    </row>
    <row r="10" ht="91.5" customHeight="1">
      <c r="A10" s="25" t="s">
        <v>75</v>
      </c>
      <c r="B10" s="14"/>
      <c r="C10" s="25" t="s">
        <v>76</v>
      </c>
      <c r="D10" s="25" t="s">
        <v>77</v>
      </c>
      <c r="E10" s="25" t="s">
        <v>43</v>
      </c>
      <c r="F10" s="25" t="s">
        <v>78</v>
      </c>
      <c r="G10" s="25" t="s">
        <v>45</v>
      </c>
      <c r="H10" s="25" t="s">
        <v>79</v>
      </c>
      <c r="I10" s="26" t="s">
        <v>80</v>
      </c>
      <c r="J10" s="25" t="s">
        <v>48</v>
      </c>
      <c r="K10" s="25" t="s">
        <v>49</v>
      </c>
      <c r="L10" s="25" t="s">
        <v>50</v>
      </c>
      <c r="M10" s="25" t="s">
        <v>51</v>
      </c>
      <c r="N10" s="25" t="s">
        <v>51</v>
      </c>
      <c r="O10" s="25" t="s">
        <v>52</v>
      </c>
      <c r="P10" s="21" t="s">
        <v>53</v>
      </c>
      <c r="Q10" s="22">
        <v>0.04097222222222222</v>
      </c>
      <c r="R10" s="13">
        <v>0.027777777777777776</v>
      </c>
      <c r="S10" s="13">
        <f t="shared" si="2"/>
        <v>0.06875</v>
      </c>
      <c r="T10" s="25" t="s">
        <v>54</v>
      </c>
      <c r="U10" s="14"/>
      <c r="V10" s="13">
        <f t="shared" si="1"/>
        <v>0.06875</v>
      </c>
      <c r="W10" s="19" t="s">
        <v>56</v>
      </c>
      <c r="X10" s="20" t="s">
        <v>57</v>
      </c>
      <c r="Y10" s="25" t="s">
        <v>74</v>
      </c>
      <c r="Z10" s="14"/>
      <c r="AA10" s="27"/>
      <c r="AB10" s="26" t="s">
        <v>45</v>
      </c>
      <c r="AC10" s="28"/>
      <c r="AD10" s="25" t="s">
        <v>63</v>
      </c>
      <c r="AE10" s="25" t="s">
        <v>81</v>
      </c>
      <c r="AF10" s="25" t="s">
        <v>82</v>
      </c>
      <c r="AG10" s="25" t="s">
        <v>83</v>
      </c>
      <c r="AH10" s="25" t="s">
        <v>84</v>
      </c>
      <c r="AI10" s="25" t="s">
        <v>85</v>
      </c>
      <c r="AJ10" s="25" t="s">
        <v>86</v>
      </c>
      <c r="AK10" s="14"/>
      <c r="AL10" s="14"/>
      <c r="AM10" s="14"/>
    </row>
    <row r="11" ht="91.5" customHeight="1">
      <c r="A11" s="19" t="s">
        <v>87</v>
      </c>
      <c r="B11" s="12"/>
      <c r="C11" s="19" t="s">
        <v>88</v>
      </c>
      <c r="D11" s="19" t="s">
        <v>89</v>
      </c>
      <c r="E11" s="19" t="s">
        <v>43</v>
      </c>
      <c r="F11" s="19" t="s">
        <v>90</v>
      </c>
      <c r="G11" s="19" t="s">
        <v>45</v>
      </c>
      <c r="H11" s="19" t="s">
        <v>91</v>
      </c>
      <c r="I11" s="20" t="s">
        <v>71</v>
      </c>
      <c r="J11" s="19" t="s">
        <v>48</v>
      </c>
      <c r="K11" s="19" t="s">
        <v>49</v>
      </c>
      <c r="L11" s="19" t="s">
        <v>50</v>
      </c>
      <c r="M11" s="19" t="s">
        <v>51</v>
      </c>
      <c r="N11" s="19" t="s">
        <v>51</v>
      </c>
      <c r="O11" s="19" t="s">
        <v>52</v>
      </c>
      <c r="P11" s="21" t="s">
        <v>53</v>
      </c>
      <c r="Q11" s="22">
        <v>0.04097222222222222</v>
      </c>
      <c r="R11" s="13">
        <v>0.027777777777777776</v>
      </c>
      <c r="S11" s="15">
        <f>Q11+R11</f>
        <v>0.06875</v>
      </c>
      <c r="T11" s="19" t="s">
        <v>54</v>
      </c>
      <c r="U11" s="19" t="s">
        <v>72</v>
      </c>
      <c r="V11" s="13">
        <f t="shared" si="1"/>
        <v>0.06875</v>
      </c>
      <c r="W11" s="19" t="s">
        <v>56</v>
      </c>
      <c r="X11" s="20" t="s">
        <v>57</v>
      </c>
      <c r="Y11" s="19" t="s">
        <v>73</v>
      </c>
      <c r="Z11" s="12"/>
      <c r="AA11" s="23"/>
      <c r="AB11" s="20" t="s">
        <v>45</v>
      </c>
      <c r="AC11" s="24"/>
      <c r="AD11" s="19" t="s">
        <v>63</v>
      </c>
      <c r="AE11" s="12"/>
      <c r="AF11" s="12"/>
      <c r="AG11" s="12"/>
      <c r="AH11" s="12"/>
      <c r="AI11" s="12"/>
      <c r="AJ11" s="12"/>
      <c r="AK11" s="12"/>
      <c r="AL11" s="12"/>
      <c r="AM11" s="12"/>
    </row>
    <row r="12" ht="104.25" customHeight="1">
      <c r="A12" s="25" t="s">
        <v>87</v>
      </c>
      <c r="B12" s="14"/>
      <c r="C12" s="25" t="s">
        <v>88</v>
      </c>
      <c r="D12" s="25" t="s">
        <v>89</v>
      </c>
      <c r="E12" s="25" t="s">
        <v>43</v>
      </c>
      <c r="F12" s="25" t="s">
        <v>90</v>
      </c>
      <c r="G12" s="25" t="s">
        <v>45</v>
      </c>
      <c r="H12" s="25" t="s">
        <v>91</v>
      </c>
      <c r="I12" s="26" t="s">
        <v>71</v>
      </c>
      <c r="J12" s="25" t="s">
        <v>48</v>
      </c>
      <c r="K12" s="25" t="s">
        <v>49</v>
      </c>
      <c r="L12" s="25" t="s">
        <v>50</v>
      </c>
      <c r="M12" s="25" t="s">
        <v>51</v>
      </c>
      <c r="N12" s="25" t="s">
        <v>51</v>
      </c>
      <c r="O12" s="25" t="s">
        <v>52</v>
      </c>
      <c r="P12" s="21" t="s">
        <v>53</v>
      </c>
      <c r="Q12" s="22">
        <v>0.04097222222222222</v>
      </c>
      <c r="R12" s="13">
        <v>0.027777777777777776</v>
      </c>
      <c r="S12" s="13">
        <f>TIMEVALUE(Q12+R12)</f>
        <v>0.06875</v>
      </c>
      <c r="T12" s="25" t="s">
        <v>54</v>
      </c>
      <c r="U12" s="14"/>
      <c r="V12" s="13">
        <f t="shared" si="1"/>
        <v>0.06875</v>
      </c>
      <c r="W12" s="19" t="s">
        <v>56</v>
      </c>
      <c r="X12" s="20" t="s">
        <v>57</v>
      </c>
      <c r="Y12" s="25" t="s">
        <v>74</v>
      </c>
      <c r="Z12" s="14"/>
      <c r="AA12" s="27"/>
      <c r="AB12" s="26" t="s">
        <v>45</v>
      </c>
      <c r="AC12" s="28"/>
      <c r="AD12" s="25" t="s">
        <v>63</v>
      </c>
      <c r="AE12" s="14"/>
      <c r="AF12" s="14"/>
      <c r="AG12" s="14"/>
      <c r="AH12" s="14"/>
      <c r="AI12" s="14"/>
      <c r="AJ12" s="14"/>
      <c r="AK12" s="14"/>
      <c r="AL12" s="14"/>
      <c r="AM12" s="14"/>
    </row>
    <row r="13" ht="104.25" customHeight="1">
      <c r="A13" s="19" t="s">
        <v>92</v>
      </c>
      <c r="B13" s="12"/>
      <c r="C13" s="19" t="s">
        <v>93</v>
      </c>
      <c r="D13" s="19" t="s">
        <v>94</v>
      </c>
      <c r="E13" s="19" t="s">
        <v>43</v>
      </c>
      <c r="F13" s="19" t="s">
        <v>95</v>
      </c>
      <c r="G13" s="19" t="s">
        <v>45</v>
      </c>
      <c r="H13" s="19" t="s">
        <v>96</v>
      </c>
      <c r="I13" s="20" t="s">
        <v>97</v>
      </c>
      <c r="J13" s="19" t="s">
        <v>48</v>
      </c>
      <c r="K13" s="19" t="s">
        <v>49</v>
      </c>
      <c r="L13" s="19" t="s">
        <v>50</v>
      </c>
      <c r="M13" s="19" t="s">
        <v>51</v>
      </c>
      <c r="N13" s="19" t="s">
        <v>51</v>
      </c>
      <c r="O13" s="19" t="s">
        <v>52</v>
      </c>
      <c r="P13" s="21" t="s">
        <v>53</v>
      </c>
      <c r="Q13" s="22">
        <v>0.04097222222222222</v>
      </c>
      <c r="R13" s="13">
        <v>0.027777777777777776</v>
      </c>
      <c r="S13" s="15">
        <f>Q13+R13</f>
        <v>0.06875</v>
      </c>
      <c r="T13" s="19" t="s">
        <v>54</v>
      </c>
      <c r="U13" s="19" t="s">
        <v>72</v>
      </c>
      <c r="V13" s="13">
        <f t="shared" si="1"/>
        <v>0.06875</v>
      </c>
      <c r="W13" s="19" t="s">
        <v>56</v>
      </c>
      <c r="X13" s="20" t="s">
        <v>57</v>
      </c>
      <c r="Y13" s="19" t="s">
        <v>73</v>
      </c>
      <c r="Z13" s="12"/>
      <c r="AA13" s="23"/>
      <c r="AB13" s="20" t="s">
        <v>45</v>
      </c>
      <c r="AC13" s="24"/>
      <c r="AD13" s="19" t="s">
        <v>98</v>
      </c>
      <c r="AE13" s="19" t="s">
        <v>63</v>
      </c>
      <c r="AF13" s="19" t="s">
        <v>99</v>
      </c>
      <c r="AG13" s="19" t="s">
        <v>100</v>
      </c>
      <c r="AH13" s="19" t="s">
        <v>85</v>
      </c>
      <c r="AI13" s="12"/>
      <c r="AJ13" s="12"/>
      <c r="AK13" s="12"/>
      <c r="AL13" s="12"/>
      <c r="AM13" s="12"/>
    </row>
    <row r="14" ht="104.25" customHeight="1">
      <c r="A14" s="25" t="s">
        <v>92</v>
      </c>
      <c r="B14" s="14"/>
      <c r="C14" s="25" t="s">
        <v>93</v>
      </c>
      <c r="D14" s="25" t="s">
        <v>94</v>
      </c>
      <c r="E14" s="25" t="s">
        <v>43</v>
      </c>
      <c r="F14" s="25" t="s">
        <v>95</v>
      </c>
      <c r="G14" s="25" t="s">
        <v>45</v>
      </c>
      <c r="H14" s="25" t="s">
        <v>96</v>
      </c>
      <c r="I14" s="26" t="s">
        <v>97</v>
      </c>
      <c r="J14" s="25" t="s">
        <v>48</v>
      </c>
      <c r="K14" s="25" t="s">
        <v>49</v>
      </c>
      <c r="L14" s="25" t="s">
        <v>50</v>
      </c>
      <c r="M14" s="25" t="s">
        <v>51</v>
      </c>
      <c r="N14" s="25" t="s">
        <v>51</v>
      </c>
      <c r="O14" s="25" t="s">
        <v>52</v>
      </c>
      <c r="P14" s="21" t="s">
        <v>53</v>
      </c>
      <c r="Q14" s="22">
        <v>0.04097222222222222</v>
      </c>
      <c r="R14" s="13">
        <v>0.027777777777777776</v>
      </c>
      <c r="S14" s="13">
        <f t="shared" ref="S14:S15" si="3">TIMEVALUE(Q14+R14)</f>
        <v>0.06875</v>
      </c>
      <c r="T14" s="25" t="s">
        <v>54</v>
      </c>
      <c r="U14" s="14"/>
      <c r="V14" s="13">
        <f t="shared" si="1"/>
        <v>0.06875</v>
      </c>
      <c r="W14" s="19" t="s">
        <v>56</v>
      </c>
      <c r="X14" s="20" t="s">
        <v>57</v>
      </c>
      <c r="Y14" s="25" t="s">
        <v>74</v>
      </c>
      <c r="Z14" s="14"/>
      <c r="AA14" s="27"/>
      <c r="AB14" s="26" t="s">
        <v>45</v>
      </c>
      <c r="AC14" s="28"/>
      <c r="AD14" s="25" t="s">
        <v>98</v>
      </c>
      <c r="AE14" s="25" t="s">
        <v>63</v>
      </c>
      <c r="AF14" s="25" t="s">
        <v>99</v>
      </c>
      <c r="AG14" s="25" t="s">
        <v>100</v>
      </c>
      <c r="AH14" s="25" t="s">
        <v>85</v>
      </c>
      <c r="AI14" s="14"/>
      <c r="AJ14" s="14"/>
      <c r="AK14" s="14"/>
      <c r="AL14" s="14"/>
      <c r="AM14" s="14"/>
    </row>
    <row r="15" ht="78.0" customHeight="1">
      <c r="A15" s="25" t="s">
        <v>101</v>
      </c>
      <c r="B15" s="14"/>
      <c r="C15" s="25" t="s">
        <v>102</v>
      </c>
      <c r="D15" s="25" t="s">
        <v>103</v>
      </c>
      <c r="E15" s="25" t="s">
        <v>43</v>
      </c>
      <c r="F15" s="25" t="s">
        <v>104</v>
      </c>
      <c r="G15" s="25" t="s">
        <v>45</v>
      </c>
      <c r="H15" s="25" t="s">
        <v>105</v>
      </c>
      <c r="I15" s="26" t="s">
        <v>106</v>
      </c>
      <c r="J15" s="25" t="s">
        <v>48</v>
      </c>
      <c r="K15" s="25" t="s">
        <v>49</v>
      </c>
      <c r="L15" s="25" t="s">
        <v>50</v>
      </c>
      <c r="M15" s="25" t="s">
        <v>51</v>
      </c>
      <c r="N15" s="25" t="s">
        <v>51</v>
      </c>
      <c r="O15" s="25" t="s">
        <v>52</v>
      </c>
      <c r="P15" s="21" t="s">
        <v>53</v>
      </c>
      <c r="Q15" s="22">
        <v>0.04097222222222222</v>
      </c>
      <c r="R15" s="13">
        <v>0.027777777777777776</v>
      </c>
      <c r="S15" s="13">
        <f t="shared" si="3"/>
        <v>0.06875</v>
      </c>
      <c r="T15" s="25" t="s">
        <v>54</v>
      </c>
      <c r="U15" s="25" t="s">
        <v>72</v>
      </c>
      <c r="V15" s="13">
        <f t="shared" si="1"/>
        <v>0.06875</v>
      </c>
      <c r="W15" s="19" t="s">
        <v>56</v>
      </c>
      <c r="X15" s="20" t="s">
        <v>57</v>
      </c>
      <c r="Y15" s="25" t="s">
        <v>73</v>
      </c>
      <c r="Z15" s="14"/>
      <c r="AA15" s="27"/>
      <c r="AB15" s="26" t="s">
        <v>45</v>
      </c>
      <c r="AC15" s="28"/>
      <c r="AD15" s="25" t="s">
        <v>107</v>
      </c>
      <c r="AE15" s="25" t="s">
        <v>63</v>
      </c>
      <c r="AF15" s="14"/>
      <c r="AG15" s="14"/>
      <c r="AH15" s="14"/>
      <c r="AI15" s="14"/>
      <c r="AJ15" s="14"/>
      <c r="AK15" s="14"/>
      <c r="AL15" s="14"/>
      <c r="AM15" s="14"/>
    </row>
    <row r="16" ht="78.0" customHeight="1">
      <c r="A16" s="19" t="s">
        <v>101</v>
      </c>
      <c r="B16" s="12"/>
      <c r="C16" s="19" t="s">
        <v>102</v>
      </c>
      <c r="D16" s="19" t="s">
        <v>103</v>
      </c>
      <c r="E16" s="19" t="s">
        <v>43</v>
      </c>
      <c r="F16" s="19" t="s">
        <v>104</v>
      </c>
      <c r="G16" s="19" t="s">
        <v>45</v>
      </c>
      <c r="H16" s="19" t="s">
        <v>105</v>
      </c>
      <c r="I16" s="20" t="s">
        <v>106</v>
      </c>
      <c r="J16" s="19" t="s">
        <v>48</v>
      </c>
      <c r="K16" s="19" t="s">
        <v>49</v>
      </c>
      <c r="L16" s="19" t="s">
        <v>50</v>
      </c>
      <c r="M16" s="19" t="s">
        <v>51</v>
      </c>
      <c r="N16" s="19" t="s">
        <v>51</v>
      </c>
      <c r="O16" s="19" t="s">
        <v>52</v>
      </c>
      <c r="P16" s="21" t="s">
        <v>53</v>
      </c>
      <c r="Q16" s="22">
        <v>0.04097222222222222</v>
      </c>
      <c r="R16" s="13">
        <v>0.027777777777777776</v>
      </c>
      <c r="S16" s="15">
        <f>Q16+R16</f>
        <v>0.06875</v>
      </c>
      <c r="T16" s="19" t="s">
        <v>54</v>
      </c>
      <c r="U16" s="12"/>
      <c r="V16" s="13">
        <f t="shared" si="1"/>
        <v>0.06875</v>
      </c>
      <c r="W16" s="19" t="s">
        <v>56</v>
      </c>
      <c r="X16" s="20" t="s">
        <v>57</v>
      </c>
      <c r="Y16" s="19" t="s">
        <v>74</v>
      </c>
      <c r="Z16" s="12"/>
      <c r="AA16" s="23"/>
      <c r="AB16" s="20" t="s">
        <v>45</v>
      </c>
      <c r="AC16" s="24"/>
      <c r="AD16" s="19" t="s">
        <v>107</v>
      </c>
      <c r="AE16" s="19" t="s">
        <v>63</v>
      </c>
      <c r="AF16" s="12"/>
      <c r="AG16" s="12"/>
      <c r="AH16" s="12"/>
      <c r="AI16" s="12"/>
      <c r="AJ16" s="12"/>
      <c r="AK16" s="12"/>
      <c r="AL16" s="12"/>
      <c r="AM16" s="12"/>
    </row>
    <row r="17" ht="13.5" customHeight="1">
      <c r="A17" s="19" t="s">
        <v>108</v>
      </c>
      <c r="B17" s="12"/>
      <c r="C17" s="19" t="s">
        <v>109</v>
      </c>
      <c r="D17" s="19" t="s">
        <v>110</v>
      </c>
      <c r="E17" s="19" t="s">
        <v>43</v>
      </c>
      <c r="F17" s="19" t="s">
        <v>111</v>
      </c>
      <c r="G17" s="19" t="s">
        <v>45</v>
      </c>
      <c r="H17" s="19" t="s">
        <v>112</v>
      </c>
      <c r="I17" s="20" t="s">
        <v>71</v>
      </c>
      <c r="J17" s="19" t="s">
        <v>48</v>
      </c>
      <c r="K17" s="19" t="s">
        <v>49</v>
      </c>
      <c r="L17" s="19" t="s">
        <v>50</v>
      </c>
      <c r="M17" s="19" t="s">
        <v>51</v>
      </c>
      <c r="N17" s="19" t="s">
        <v>51</v>
      </c>
      <c r="O17" s="19" t="s">
        <v>52</v>
      </c>
      <c r="P17" s="21" t="s">
        <v>53</v>
      </c>
      <c r="Q17" s="22">
        <v>0.04097222222222222</v>
      </c>
      <c r="R17" s="13">
        <v>0.027777777777777776</v>
      </c>
      <c r="S17" s="13">
        <f>TIMEVALUE(Q17+R17)</f>
        <v>0.06875</v>
      </c>
      <c r="T17" s="19" t="s">
        <v>54</v>
      </c>
      <c r="U17" s="12"/>
      <c r="V17" s="13">
        <f t="shared" si="1"/>
        <v>0.06875</v>
      </c>
      <c r="W17" s="19" t="s">
        <v>56</v>
      </c>
      <c r="X17" s="20" t="s">
        <v>57</v>
      </c>
      <c r="Y17" s="19" t="s">
        <v>74</v>
      </c>
      <c r="Z17" s="12"/>
      <c r="AA17" s="23"/>
      <c r="AB17" s="20" t="s">
        <v>45</v>
      </c>
      <c r="AC17" s="24"/>
      <c r="AD17" s="19" t="s">
        <v>63</v>
      </c>
      <c r="AE17" s="12"/>
      <c r="AF17" s="12"/>
      <c r="AG17" s="12"/>
      <c r="AH17" s="12"/>
      <c r="AI17" s="12"/>
      <c r="AJ17" s="12"/>
      <c r="AK17" s="12"/>
      <c r="AL17" s="12"/>
      <c r="AM17" s="12"/>
    </row>
    <row r="18" ht="65.25" customHeight="1">
      <c r="A18" s="25" t="s">
        <v>113</v>
      </c>
      <c r="B18" s="14"/>
      <c r="C18" s="25" t="s">
        <v>114</v>
      </c>
      <c r="D18" s="25" t="s">
        <v>115</v>
      </c>
      <c r="E18" s="25" t="s">
        <v>43</v>
      </c>
      <c r="F18" s="25" t="s">
        <v>116</v>
      </c>
      <c r="G18" s="25" t="s">
        <v>45</v>
      </c>
      <c r="H18" s="25" t="s">
        <v>117</v>
      </c>
      <c r="I18" s="26" t="s">
        <v>71</v>
      </c>
      <c r="J18" s="25" t="s">
        <v>48</v>
      </c>
      <c r="K18" s="25" t="s">
        <v>49</v>
      </c>
      <c r="L18" s="25" t="s">
        <v>50</v>
      </c>
      <c r="M18" s="25" t="s">
        <v>51</v>
      </c>
      <c r="N18" s="25" t="s">
        <v>51</v>
      </c>
      <c r="O18" s="25" t="s">
        <v>52</v>
      </c>
      <c r="P18" s="21" t="s">
        <v>53</v>
      </c>
      <c r="Q18" s="22">
        <v>0.04097222222222222</v>
      </c>
      <c r="R18" s="13">
        <v>0.027777777777777776</v>
      </c>
      <c r="S18" s="15">
        <f>Q18+R18</f>
        <v>0.06875</v>
      </c>
      <c r="T18" s="25" t="s">
        <v>118</v>
      </c>
      <c r="U18" s="25" t="s">
        <v>72</v>
      </c>
      <c r="V18" s="13">
        <f t="shared" si="1"/>
        <v>0.06875</v>
      </c>
      <c r="W18" s="19" t="s">
        <v>56</v>
      </c>
      <c r="X18" s="20" t="s">
        <v>57</v>
      </c>
      <c r="Y18" s="25" t="s">
        <v>119</v>
      </c>
      <c r="Z18" s="14"/>
      <c r="AA18" s="27"/>
      <c r="AB18" s="26" t="s">
        <v>45</v>
      </c>
      <c r="AC18" s="28"/>
      <c r="AD18" s="25" t="s">
        <v>63</v>
      </c>
      <c r="AE18" s="14"/>
      <c r="AF18" s="14"/>
      <c r="AG18" s="14"/>
      <c r="AH18" s="14"/>
      <c r="AI18" s="14"/>
      <c r="AJ18" s="14"/>
      <c r="AK18" s="14"/>
      <c r="AL18" s="14"/>
      <c r="AM18" s="14"/>
    </row>
    <row r="19" ht="65.25" customHeight="1">
      <c r="A19" s="19" t="s">
        <v>113</v>
      </c>
      <c r="B19" s="12"/>
      <c r="C19" s="19" t="s">
        <v>114</v>
      </c>
      <c r="D19" s="19" t="s">
        <v>115</v>
      </c>
      <c r="E19" s="19" t="s">
        <v>43</v>
      </c>
      <c r="F19" s="19" t="s">
        <v>116</v>
      </c>
      <c r="G19" s="19" t="s">
        <v>45</v>
      </c>
      <c r="H19" s="19" t="s">
        <v>117</v>
      </c>
      <c r="I19" s="20" t="s">
        <v>71</v>
      </c>
      <c r="J19" s="19" t="s">
        <v>48</v>
      </c>
      <c r="K19" s="19" t="s">
        <v>49</v>
      </c>
      <c r="L19" s="19" t="s">
        <v>50</v>
      </c>
      <c r="M19" s="19" t="s">
        <v>51</v>
      </c>
      <c r="N19" s="19" t="s">
        <v>51</v>
      </c>
      <c r="O19" s="19" t="s">
        <v>52</v>
      </c>
      <c r="P19" s="21" t="s">
        <v>53</v>
      </c>
      <c r="Q19" s="22">
        <v>0.04097222222222222</v>
      </c>
      <c r="R19" s="13">
        <v>0.027777777777777776</v>
      </c>
      <c r="S19" s="13">
        <f t="shared" ref="S19:S20" si="4">TIMEVALUE(Q19+R19)</f>
        <v>0.06875</v>
      </c>
      <c r="T19" s="12"/>
      <c r="U19" s="12"/>
      <c r="V19" s="13">
        <f t="shared" si="1"/>
        <v>0.06875</v>
      </c>
      <c r="W19" s="19" t="s">
        <v>56</v>
      </c>
      <c r="X19" s="20" t="s">
        <v>57</v>
      </c>
      <c r="Y19" s="19" t="s">
        <v>119</v>
      </c>
      <c r="Z19" s="12"/>
      <c r="AA19" s="23"/>
      <c r="AB19" s="20" t="s">
        <v>45</v>
      </c>
      <c r="AC19" s="24"/>
      <c r="AD19" s="19" t="s">
        <v>63</v>
      </c>
      <c r="AE19" s="12"/>
      <c r="AF19" s="12"/>
      <c r="AG19" s="12"/>
      <c r="AH19" s="12"/>
      <c r="AI19" s="12"/>
      <c r="AJ19" s="12"/>
      <c r="AK19" s="12"/>
      <c r="AL19" s="12"/>
      <c r="AM19" s="12"/>
    </row>
    <row r="20" ht="65.25" customHeight="1">
      <c r="A20" s="19" t="s">
        <v>120</v>
      </c>
      <c r="B20" s="12"/>
      <c r="C20" s="19" t="s">
        <v>121</v>
      </c>
      <c r="D20" s="19" t="s">
        <v>122</v>
      </c>
      <c r="E20" s="19" t="s">
        <v>43</v>
      </c>
      <c r="F20" s="19" t="s">
        <v>123</v>
      </c>
      <c r="G20" s="19" t="s">
        <v>45</v>
      </c>
      <c r="H20" s="19" t="s">
        <v>124</v>
      </c>
      <c r="I20" s="20" t="s">
        <v>125</v>
      </c>
      <c r="J20" s="19" t="s">
        <v>48</v>
      </c>
      <c r="K20" s="19" t="s">
        <v>49</v>
      </c>
      <c r="L20" s="19" t="s">
        <v>50</v>
      </c>
      <c r="M20" s="19" t="s">
        <v>51</v>
      </c>
      <c r="N20" s="19" t="s">
        <v>51</v>
      </c>
      <c r="O20" s="19" t="s">
        <v>52</v>
      </c>
      <c r="P20" s="21" t="s">
        <v>53</v>
      </c>
      <c r="Q20" s="22">
        <v>0.04097222222222222</v>
      </c>
      <c r="R20" s="13">
        <v>0.027777777777777776</v>
      </c>
      <c r="S20" s="13">
        <f t="shared" si="4"/>
        <v>0.06875</v>
      </c>
      <c r="T20" s="19" t="s">
        <v>118</v>
      </c>
      <c r="U20" s="19" t="s">
        <v>72</v>
      </c>
      <c r="V20" s="13">
        <f t="shared" si="1"/>
        <v>0.06875</v>
      </c>
      <c r="W20" s="19" t="s">
        <v>56</v>
      </c>
      <c r="X20" s="20" t="s">
        <v>57</v>
      </c>
      <c r="Y20" s="19" t="s">
        <v>119</v>
      </c>
      <c r="Z20" s="12"/>
      <c r="AA20" s="23"/>
      <c r="AB20" s="20" t="s">
        <v>45</v>
      </c>
      <c r="AC20" s="24"/>
      <c r="AD20" s="19" t="s">
        <v>126</v>
      </c>
      <c r="AE20" s="19" t="s">
        <v>127</v>
      </c>
      <c r="AF20" s="19" t="s">
        <v>128</v>
      </c>
      <c r="AG20" s="19" t="s">
        <v>63</v>
      </c>
      <c r="AH20" s="19" t="s">
        <v>129</v>
      </c>
      <c r="AI20" s="19" t="s">
        <v>130</v>
      </c>
      <c r="AJ20" s="12"/>
      <c r="AK20" s="12"/>
      <c r="AL20" s="12"/>
      <c r="AM20" s="12"/>
    </row>
    <row r="21" ht="39.0" customHeight="1">
      <c r="A21" s="25" t="s">
        <v>120</v>
      </c>
      <c r="B21" s="14"/>
      <c r="C21" s="25" t="s">
        <v>121</v>
      </c>
      <c r="D21" s="25" t="s">
        <v>122</v>
      </c>
      <c r="E21" s="25" t="s">
        <v>43</v>
      </c>
      <c r="F21" s="25" t="s">
        <v>123</v>
      </c>
      <c r="G21" s="25" t="s">
        <v>45</v>
      </c>
      <c r="H21" s="25" t="s">
        <v>124</v>
      </c>
      <c r="I21" s="26" t="s">
        <v>125</v>
      </c>
      <c r="J21" s="25" t="s">
        <v>48</v>
      </c>
      <c r="K21" s="25" t="s">
        <v>49</v>
      </c>
      <c r="L21" s="25" t="s">
        <v>50</v>
      </c>
      <c r="M21" s="25" t="s">
        <v>51</v>
      </c>
      <c r="N21" s="25" t="s">
        <v>51</v>
      </c>
      <c r="O21" s="25" t="s">
        <v>52</v>
      </c>
      <c r="P21" s="21" t="s">
        <v>53</v>
      </c>
      <c r="Q21" s="22">
        <v>0.04097222222222222</v>
      </c>
      <c r="R21" s="13">
        <v>0.027777777777777776</v>
      </c>
      <c r="S21" s="15">
        <f>Q21+R21</f>
        <v>0.06875</v>
      </c>
      <c r="T21" s="14"/>
      <c r="U21" s="14"/>
      <c r="V21" s="13">
        <f t="shared" si="1"/>
        <v>0.06875</v>
      </c>
      <c r="W21" s="19" t="s">
        <v>56</v>
      </c>
      <c r="X21" s="20" t="s">
        <v>57</v>
      </c>
      <c r="Y21" s="25" t="s">
        <v>119</v>
      </c>
      <c r="Z21" s="14"/>
      <c r="AA21" s="27"/>
      <c r="AB21" s="26" t="s">
        <v>45</v>
      </c>
      <c r="AC21" s="28"/>
      <c r="AD21" s="25" t="s">
        <v>126</v>
      </c>
      <c r="AE21" s="25" t="s">
        <v>127</v>
      </c>
      <c r="AF21" s="25" t="s">
        <v>128</v>
      </c>
      <c r="AG21" s="25" t="s">
        <v>63</v>
      </c>
      <c r="AH21" s="25" t="s">
        <v>129</v>
      </c>
      <c r="AI21" s="25" t="s">
        <v>130</v>
      </c>
      <c r="AJ21" s="14"/>
      <c r="AK21" s="14"/>
      <c r="AL21" s="14"/>
      <c r="AM21" s="14"/>
    </row>
    <row r="22" ht="39.0" customHeight="1">
      <c r="A22" s="19" t="s">
        <v>131</v>
      </c>
      <c r="B22" s="12"/>
      <c r="C22" s="19" t="s">
        <v>132</v>
      </c>
      <c r="D22" s="19" t="s">
        <v>133</v>
      </c>
      <c r="E22" s="19" t="s">
        <v>43</v>
      </c>
      <c r="F22" s="19" t="s">
        <v>134</v>
      </c>
      <c r="G22" s="19" t="s">
        <v>45</v>
      </c>
      <c r="H22" s="19" t="s">
        <v>135</v>
      </c>
      <c r="I22" s="20" t="s">
        <v>71</v>
      </c>
      <c r="J22" s="19" t="s">
        <v>48</v>
      </c>
      <c r="K22" s="19" t="s">
        <v>49</v>
      </c>
      <c r="L22" s="19" t="s">
        <v>50</v>
      </c>
      <c r="M22" s="19" t="s">
        <v>51</v>
      </c>
      <c r="N22" s="19" t="s">
        <v>51</v>
      </c>
      <c r="O22" s="19" t="s">
        <v>52</v>
      </c>
      <c r="P22" s="21" t="s">
        <v>53</v>
      </c>
      <c r="Q22" s="22">
        <v>0.04097222222222222</v>
      </c>
      <c r="R22" s="13">
        <v>0.027777777777777776</v>
      </c>
      <c r="S22" s="13">
        <f>TIMEVALUE(Q22+R22)</f>
        <v>0.06875</v>
      </c>
      <c r="T22" s="19" t="s">
        <v>118</v>
      </c>
      <c r="U22" s="19" t="s">
        <v>72</v>
      </c>
      <c r="V22" s="13">
        <f t="shared" si="1"/>
        <v>0.06875</v>
      </c>
      <c r="W22" s="19" t="s">
        <v>56</v>
      </c>
      <c r="X22" s="20" t="s">
        <v>57</v>
      </c>
      <c r="Y22" s="19" t="s">
        <v>119</v>
      </c>
      <c r="Z22" s="12"/>
      <c r="AA22" s="23"/>
      <c r="AB22" s="20" t="s">
        <v>45</v>
      </c>
      <c r="AC22" s="24"/>
      <c r="AD22" s="19" t="s">
        <v>63</v>
      </c>
      <c r="AE22" s="12"/>
      <c r="AF22" s="12"/>
      <c r="AG22" s="12"/>
      <c r="AH22" s="12"/>
      <c r="AI22" s="12"/>
      <c r="AJ22" s="12"/>
      <c r="AK22" s="12"/>
      <c r="AL22" s="12"/>
      <c r="AM22" s="12"/>
    </row>
    <row r="23" ht="78.0" customHeight="1">
      <c r="A23" s="25" t="s">
        <v>131</v>
      </c>
      <c r="B23" s="14"/>
      <c r="C23" s="25" t="s">
        <v>132</v>
      </c>
      <c r="D23" s="25" t="s">
        <v>133</v>
      </c>
      <c r="E23" s="25" t="s">
        <v>43</v>
      </c>
      <c r="F23" s="25" t="s">
        <v>134</v>
      </c>
      <c r="G23" s="25" t="s">
        <v>45</v>
      </c>
      <c r="H23" s="25" t="s">
        <v>135</v>
      </c>
      <c r="I23" s="26" t="s">
        <v>71</v>
      </c>
      <c r="J23" s="25" t="s">
        <v>48</v>
      </c>
      <c r="K23" s="25" t="s">
        <v>49</v>
      </c>
      <c r="L23" s="25" t="s">
        <v>50</v>
      </c>
      <c r="M23" s="25" t="s">
        <v>51</v>
      </c>
      <c r="N23" s="25" t="s">
        <v>51</v>
      </c>
      <c r="O23" s="25" t="s">
        <v>52</v>
      </c>
      <c r="P23" s="21" t="s">
        <v>53</v>
      </c>
      <c r="Q23" s="22">
        <v>0.04097222222222222</v>
      </c>
      <c r="R23" s="13">
        <v>0.027777777777777776</v>
      </c>
      <c r="S23" s="15">
        <f>Q23+R23</f>
        <v>0.06875</v>
      </c>
      <c r="T23" s="14"/>
      <c r="U23" s="14"/>
      <c r="V23" s="13">
        <f t="shared" si="1"/>
        <v>0.06875</v>
      </c>
      <c r="W23" s="19" t="s">
        <v>56</v>
      </c>
      <c r="X23" s="20" t="s">
        <v>57</v>
      </c>
      <c r="Y23" s="25" t="s">
        <v>119</v>
      </c>
      <c r="Z23" s="14"/>
      <c r="AA23" s="27"/>
      <c r="AB23" s="26" t="s">
        <v>45</v>
      </c>
      <c r="AC23" s="28"/>
      <c r="AD23" s="25" t="s">
        <v>63</v>
      </c>
      <c r="AE23" s="14"/>
      <c r="AF23" s="14"/>
      <c r="AG23" s="14"/>
      <c r="AH23" s="14"/>
      <c r="AI23" s="14"/>
      <c r="AJ23" s="14"/>
      <c r="AK23" s="14"/>
      <c r="AL23" s="14"/>
      <c r="AM23" s="14"/>
    </row>
    <row r="24" ht="78.0" customHeight="1">
      <c r="A24" s="25" t="s">
        <v>136</v>
      </c>
      <c r="B24" s="14"/>
      <c r="C24" s="25" t="s">
        <v>137</v>
      </c>
      <c r="D24" s="25" t="s">
        <v>138</v>
      </c>
      <c r="E24" s="25" t="s">
        <v>43</v>
      </c>
      <c r="F24" s="25" t="s">
        <v>139</v>
      </c>
      <c r="G24" s="25" t="s">
        <v>45</v>
      </c>
      <c r="H24" s="25" t="s">
        <v>140</v>
      </c>
      <c r="I24" s="26" t="s">
        <v>71</v>
      </c>
      <c r="J24" s="25" t="s">
        <v>48</v>
      </c>
      <c r="K24" s="25" t="s">
        <v>49</v>
      </c>
      <c r="L24" s="25" t="s">
        <v>50</v>
      </c>
      <c r="M24" s="25" t="s">
        <v>51</v>
      </c>
      <c r="N24" s="25" t="s">
        <v>51</v>
      </c>
      <c r="O24" s="25" t="s">
        <v>52</v>
      </c>
      <c r="P24" s="21" t="s">
        <v>53</v>
      </c>
      <c r="Q24" s="22">
        <v>0.04097222222222222</v>
      </c>
      <c r="R24" s="13">
        <v>0.027777777777777776</v>
      </c>
      <c r="S24" s="13">
        <f t="shared" ref="S24:S25" si="5">TIMEVALUE(Q24+R24)</f>
        <v>0.06875</v>
      </c>
      <c r="T24" s="25" t="s">
        <v>118</v>
      </c>
      <c r="U24" s="25" t="s">
        <v>72</v>
      </c>
      <c r="V24" s="13">
        <f t="shared" si="1"/>
        <v>0.06875</v>
      </c>
      <c r="W24" s="19" t="s">
        <v>56</v>
      </c>
      <c r="X24" s="20" t="s">
        <v>57</v>
      </c>
      <c r="Y24" s="25" t="s">
        <v>73</v>
      </c>
      <c r="Z24" s="14"/>
      <c r="AA24" s="27"/>
      <c r="AB24" s="26" t="s">
        <v>45</v>
      </c>
      <c r="AC24" s="28"/>
      <c r="AD24" s="25" t="s">
        <v>63</v>
      </c>
      <c r="AE24" s="14"/>
      <c r="AF24" s="14"/>
      <c r="AG24" s="14"/>
      <c r="AH24" s="14"/>
      <c r="AI24" s="14"/>
      <c r="AJ24" s="14"/>
      <c r="AK24" s="14"/>
      <c r="AL24" s="14"/>
      <c r="AM24" s="14"/>
    </row>
    <row r="25" ht="78.0" customHeight="1">
      <c r="A25" s="19" t="s">
        <v>136</v>
      </c>
      <c r="B25" s="12"/>
      <c r="C25" s="19" t="s">
        <v>137</v>
      </c>
      <c r="D25" s="19" t="s">
        <v>138</v>
      </c>
      <c r="E25" s="19" t="s">
        <v>43</v>
      </c>
      <c r="F25" s="19" t="s">
        <v>139</v>
      </c>
      <c r="G25" s="19" t="s">
        <v>45</v>
      </c>
      <c r="H25" s="19" t="s">
        <v>140</v>
      </c>
      <c r="I25" s="20" t="s">
        <v>71</v>
      </c>
      <c r="J25" s="19" t="s">
        <v>48</v>
      </c>
      <c r="K25" s="19" t="s">
        <v>49</v>
      </c>
      <c r="L25" s="19" t="s">
        <v>50</v>
      </c>
      <c r="M25" s="19" t="s">
        <v>51</v>
      </c>
      <c r="N25" s="19" t="s">
        <v>51</v>
      </c>
      <c r="O25" s="19" t="s">
        <v>52</v>
      </c>
      <c r="P25" s="21" t="s">
        <v>53</v>
      </c>
      <c r="Q25" s="22">
        <v>0.04097222222222222</v>
      </c>
      <c r="R25" s="13">
        <v>0.027777777777777776</v>
      </c>
      <c r="S25" s="13">
        <f t="shared" si="5"/>
        <v>0.06875</v>
      </c>
      <c r="T25" s="12"/>
      <c r="U25" s="12"/>
      <c r="V25" s="13">
        <f t="shared" si="1"/>
        <v>0.06875</v>
      </c>
      <c r="W25" s="19" t="s">
        <v>56</v>
      </c>
      <c r="X25" s="20" t="s">
        <v>57</v>
      </c>
      <c r="Y25" s="19" t="s">
        <v>74</v>
      </c>
      <c r="Z25" s="12"/>
      <c r="AA25" s="23"/>
      <c r="AB25" s="20" t="s">
        <v>45</v>
      </c>
      <c r="AC25" s="24"/>
      <c r="AD25" s="19" t="s">
        <v>63</v>
      </c>
      <c r="AE25" s="12"/>
      <c r="AF25" s="12"/>
      <c r="AG25" s="12"/>
      <c r="AH25" s="12"/>
      <c r="AI25" s="12"/>
      <c r="AJ25" s="12"/>
      <c r="AK25" s="12"/>
      <c r="AL25" s="12"/>
      <c r="AM25" s="12"/>
    </row>
    <row r="26" ht="78.0" customHeight="1">
      <c r="A26" s="19" t="s">
        <v>141</v>
      </c>
      <c r="B26" s="12"/>
      <c r="C26" s="19" t="s">
        <v>142</v>
      </c>
      <c r="D26" s="19" t="s">
        <v>143</v>
      </c>
      <c r="E26" s="19" t="s">
        <v>43</v>
      </c>
      <c r="F26" s="19" t="s">
        <v>144</v>
      </c>
      <c r="G26" s="19" t="s">
        <v>45</v>
      </c>
      <c r="H26" s="19" t="s">
        <v>145</v>
      </c>
      <c r="I26" s="20" t="s">
        <v>71</v>
      </c>
      <c r="J26" s="19" t="s">
        <v>48</v>
      </c>
      <c r="K26" s="19" t="s">
        <v>49</v>
      </c>
      <c r="L26" s="19" t="s">
        <v>50</v>
      </c>
      <c r="M26" s="19" t="s">
        <v>51</v>
      </c>
      <c r="N26" s="19" t="s">
        <v>51</v>
      </c>
      <c r="O26" s="19" t="s">
        <v>52</v>
      </c>
      <c r="P26" s="21" t="s">
        <v>53</v>
      </c>
      <c r="Q26" s="22">
        <v>0.04097222222222222</v>
      </c>
      <c r="R26" s="13">
        <v>0.027777777777777776</v>
      </c>
      <c r="S26" s="15">
        <f>Q26+R26</f>
        <v>0.06875</v>
      </c>
      <c r="T26" s="12"/>
      <c r="U26" s="12"/>
      <c r="V26" s="13">
        <f t="shared" si="1"/>
        <v>0.06875</v>
      </c>
      <c r="W26" s="19" t="s">
        <v>56</v>
      </c>
      <c r="X26" s="20" t="s">
        <v>57</v>
      </c>
      <c r="Y26" s="19" t="s">
        <v>74</v>
      </c>
      <c r="Z26" s="12"/>
      <c r="AA26" s="23"/>
      <c r="AB26" s="20" t="s">
        <v>45</v>
      </c>
      <c r="AC26" s="24"/>
      <c r="AD26" s="19" t="s">
        <v>63</v>
      </c>
      <c r="AE26" s="12"/>
      <c r="AF26" s="12"/>
      <c r="AG26" s="12"/>
      <c r="AH26" s="12"/>
      <c r="AI26" s="12"/>
      <c r="AJ26" s="12"/>
      <c r="AK26" s="12"/>
      <c r="AL26" s="12"/>
      <c r="AM26" s="12"/>
    </row>
    <row r="27" ht="26.25" customHeight="1">
      <c r="A27" s="19" t="s">
        <v>146</v>
      </c>
      <c r="B27" s="12"/>
      <c r="C27" s="19" t="s">
        <v>147</v>
      </c>
      <c r="D27" s="19" t="s">
        <v>148</v>
      </c>
      <c r="E27" s="19" t="s">
        <v>43</v>
      </c>
      <c r="F27" s="19" t="s">
        <v>149</v>
      </c>
      <c r="G27" s="19" t="s">
        <v>45</v>
      </c>
      <c r="H27" s="19" t="s">
        <v>150</v>
      </c>
      <c r="I27" s="20" t="s">
        <v>151</v>
      </c>
      <c r="J27" s="19" t="s">
        <v>152</v>
      </c>
      <c r="K27" s="19" t="s">
        <v>49</v>
      </c>
      <c r="L27" s="19" t="s">
        <v>50</v>
      </c>
      <c r="M27" s="19" t="s">
        <v>51</v>
      </c>
      <c r="N27" s="19" t="s">
        <v>51</v>
      </c>
      <c r="O27" s="19" t="s">
        <v>52</v>
      </c>
      <c r="P27" s="21" t="s">
        <v>53</v>
      </c>
      <c r="Q27" s="22">
        <v>0.04097222222222222</v>
      </c>
      <c r="R27" s="13">
        <v>0.027777777777777776</v>
      </c>
      <c r="S27" s="13">
        <f>TIMEVALUE(Q27+R27)</f>
        <v>0.06875</v>
      </c>
      <c r="T27" s="19" t="s">
        <v>54</v>
      </c>
      <c r="U27" s="19" t="s">
        <v>55</v>
      </c>
      <c r="V27" s="13">
        <f t="shared" si="1"/>
        <v>0.06875</v>
      </c>
      <c r="W27" s="19" t="s">
        <v>56</v>
      </c>
      <c r="X27" s="20" t="s">
        <v>57</v>
      </c>
      <c r="Y27" s="19" t="s">
        <v>58</v>
      </c>
      <c r="Z27" s="12"/>
      <c r="AA27" s="23"/>
      <c r="AB27" s="20" t="s">
        <v>45</v>
      </c>
      <c r="AC27" s="24"/>
      <c r="AD27" s="19" t="s">
        <v>153</v>
      </c>
      <c r="AE27" s="19" t="s">
        <v>154</v>
      </c>
      <c r="AF27" s="19" t="s">
        <v>98</v>
      </c>
      <c r="AG27" s="19" t="s">
        <v>155</v>
      </c>
      <c r="AH27" s="19" t="s">
        <v>63</v>
      </c>
      <c r="AI27" s="19" t="s">
        <v>156</v>
      </c>
      <c r="AJ27" s="19" t="s">
        <v>157</v>
      </c>
      <c r="AK27" s="12"/>
      <c r="AL27" s="12"/>
      <c r="AM27" s="12"/>
    </row>
    <row r="28" ht="26.25" customHeight="1">
      <c r="A28" s="25" t="s">
        <v>146</v>
      </c>
      <c r="B28" s="14"/>
      <c r="C28" s="25" t="s">
        <v>147</v>
      </c>
      <c r="D28" s="25" t="s">
        <v>148</v>
      </c>
      <c r="E28" s="25" t="s">
        <v>43</v>
      </c>
      <c r="F28" s="25" t="s">
        <v>149</v>
      </c>
      <c r="G28" s="25" t="s">
        <v>45</v>
      </c>
      <c r="H28" s="25" t="s">
        <v>150</v>
      </c>
      <c r="I28" s="26" t="s">
        <v>151</v>
      </c>
      <c r="J28" s="25" t="s">
        <v>152</v>
      </c>
      <c r="K28" s="25" t="s">
        <v>49</v>
      </c>
      <c r="L28" s="25" t="s">
        <v>50</v>
      </c>
      <c r="M28" s="25" t="s">
        <v>51</v>
      </c>
      <c r="N28" s="25" t="s">
        <v>51</v>
      </c>
      <c r="O28" s="25" t="s">
        <v>52</v>
      </c>
      <c r="P28" s="21" t="s">
        <v>53</v>
      </c>
      <c r="Q28" s="22">
        <v>0.04097222222222222</v>
      </c>
      <c r="R28" s="13">
        <v>0.027777777777777776</v>
      </c>
      <c r="S28" s="15">
        <f>Q28+R28</f>
        <v>0.06875</v>
      </c>
      <c r="T28" s="25" t="s">
        <v>54</v>
      </c>
      <c r="U28" s="25" t="s">
        <v>158</v>
      </c>
      <c r="V28" s="13">
        <f t="shared" si="1"/>
        <v>0.06875</v>
      </c>
      <c r="W28" s="19" t="s">
        <v>56</v>
      </c>
      <c r="X28" s="20" t="s">
        <v>57</v>
      </c>
      <c r="Y28" s="25" t="s">
        <v>65</v>
      </c>
      <c r="Z28" s="14"/>
      <c r="AA28" s="27"/>
      <c r="AB28" s="26" t="s">
        <v>45</v>
      </c>
      <c r="AC28" s="28"/>
      <c r="AD28" s="25" t="s">
        <v>153</v>
      </c>
      <c r="AE28" s="25" t="s">
        <v>154</v>
      </c>
      <c r="AF28" s="25" t="s">
        <v>98</v>
      </c>
      <c r="AG28" s="25" t="s">
        <v>155</v>
      </c>
      <c r="AH28" s="25" t="s">
        <v>63</v>
      </c>
      <c r="AI28" s="25" t="s">
        <v>156</v>
      </c>
      <c r="AJ28" s="25" t="s">
        <v>157</v>
      </c>
      <c r="AK28" s="14"/>
      <c r="AL28" s="14"/>
      <c r="AM28" s="14"/>
    </row>
    <row r="29" ht="52.5" customHeight="1">
      <c r="A29" s="19" t="s">
        <v>146</v>
      </c>
      <c r="B29" s="12"/>
      <c r="C29" s="19" t="s">
        <v>147</v>
      </c>
      <c r="D29" s="19" t="s">
        <v>148</v>
      </c>
      <c r="E29" s="19" t="s">
        <v>43</v>
      </c>
      <c r="F29" s="19" t="s">
        <v>149</v>
      </c>
      <c r="G29" s="19" t="s">
        <v>45</v>
      </c>
      <c r="H29" s="19" t="s">
        <v>150</v>
      </c>
      <c r="I29" s="20" t="s">
        <v>151</v>
      </c>
      <c r="J29" s="19" t="s">
        <v>152</v>
      </c>
      <c r="K29" s="19" t="s">
        <v>49</v>
      </c>
      <c r="L29" s="19" t="s">
        <v>50</v>
      </c>
      <c r="M29" s="19" t="s">
        <v>51</v>
      </c>
      <c r="N29" s="19" t="s">
        <v>51</v>
      </c>
      <c r="O29" s="19" t="s">
        <v>52</v>
      </c>
      <c r="P29" s="21" t="s">
        <v>53</v>
      </c>
      <c r="Q29" s="22">
        <v>0.04097222222222222</v>
      </c>
      <c r="R29" s="13">
        <v>0.027777777777777776</v>
      </c>
      <c r="S29" s="13">
        <f t="shared" ref="S29:S30" si="6">TIMEVALUE(Q29+R29)</f>
        <v>0.06875</v>
      </c>
      <c r="T29" s="19" t="s">
        <v>54</v>
      </c>
      <c r="U29" s="12"/>
      <c r="V29" s="13">
        <f t="shared" si="1"/>
        <v>0.06875</v>
      </c>
      <c r="W29" s="19" t="s">
        <v>56</v>
      </c>
      <c r="X29" s="20" t="s">
        <v>57</v>
      </c>
      <c r="Y29" s="19" t="s">
        <v>159</v>
      </c>
      <c r="Z29" s="12"/>
      <c r="AA29" s="23"/>
      <c r="AB29" s="20" t="s">
        <v>45</v>
      </c>
      <c r="AC29" s="24"/>
      <c r="AD29" s="19" t="s">
        <v>153</v>
      </c>
      <c r="AE29" s="19" t="s">
        <v>154</v>
      </c>
      <c r="AF29" s="19" t="s">
        <v>98</v>
      </c>
      <c r="AG29" s="19" t="s">
        <v>155</v>
      </c>
      <c r="AH29" s="19" t="s">
        <v>63</v>
      </c>
      <c r="AI29" s="19" t="s">
        <v>156</v>
      </c>
      <c r="AJ29" s="19" t="s">
        <v>157</v>
      </c>
      <c r="AK29" s="12"/>
      <c r="AL29" s="12"/>
      <c r="AM29" s="12"/>
    </row>
    <row r="30" ht="52.5" customHeight="1">
      <c r="A30" s="25" t="s">
        <v>146</v>
      </c>
      <c r="B30" s="14"/>
      <c r="C30" s="25" t="s">
        <v>160</v>
      </c>
      <c r="D30" s="25" t="s">
        <v>161</v>
      </c>
      <c r="E30" s="25" t="s">
        <v>43</v>
      </c>
      <c r="F30" s="25" t="s">
        <v>162</v>
      </c>
      <c r="G30" s="25" t="s">
        <v>45</v>
      </c>
      <c r="H30" s="25" t="s">
        <v>163</v>
      </c>
      <c r="I30" s="26" t="s">
        <v>164</v>
      </c>
      <c r="J30" s="25" t="s">
        <v>152</v>
      </c>
      <c r="K30" s="25" t="s">
        <v>49</v>
      </c>
      <c r="L30" s="25" t="s">
        <v>50</v>
      </c>
      <c r="M30" s="25" t="s">
        <v>51</v>
      </c>
      <c r="N30" s="25" t="s">
        <v>51</v>
      </c>
      <c r="O30" s="25" t="s">
        <v>52</v>
      </c>
      <c r="P30" s="21" t="s">
        <v>53</v>
      </c>
      <c r="Q30" s="22">
        <v>0.04097222222222222</v>
      </c>
      <c r="R30" s="13">
        <v>0.027777777777777776</v>
      </c>
      <c r="S30" s="13">
        <f t="shared" si="6"/>
        <v>0.06875</v>
      </c>
      <c r="T30" s="25" t="s">
        <v>54</v>
      </c>
      <c r="U30" s="25" t="s">
        <v>72</v>
      </c>
      <c r="V30" s="13">
        <f t="shared" si="1"/>
        <v>0.06875</v>
      </c>
      <c r="W30" s="19" t="s">
        <v>56</v>
      </c>
      <c r="X30" s="20" t="s">
        <v>57</v>
      </c>
      <c r="Y30" s="25" t="s">
        <v>73</v>
      </c>
      <c r="Z30" s="14"/>
      <c r="AA30" s="27"/>
      <c r="AB30" s="26" t="s">
        <v>45</v>
      </c>
      <c r="AC30" s="28"/>
      <c r="AD30" s="25" t="s">
        <v>98</v>
      </c>
      <c r="AE30" s="25" t="s">
        <v>165</v>
      </c>
      <c r="AF30" s="25" t="s">
        <v>63</v>
      </c>
      <c r="AG30" s="25" t="s">
        <v>166</v>
      </c>
      <c r="AH30" s="25" t="s">
        <v>167</v>
      </c>
      <c r="AI30" s="14"/>
      <c r="AJ30" s="14"/>
      <c r="AK30" s="14"/>
      <c r="AL30" s="14"/>
      <c r="AM30" s="14"/>
    </row>
    <row r="31" ht="104.25" customHeight="1">
      <c r="A31" s="19" t="s">
        <v>146</v>
      </c>
      <c r="B31" s="12"/>
      <c r="C31" s="19" t="s">
        <v>160</v>
      </c>
      <c r="D31" s="19" t="s">
        <v>161</v>
      </c>
      <c r="E31" s="19" t="s">
        <v>43</v>
      </c>
      <c r="F31" s="19" t="s">
        <v>162</v>
      </c>
      <c r="G31" s="19" t="s">
        <v>45</v>
      </c>
      <c r="H31" s="19" t="s">
        <v>163</v>
      </c>
      <c r="I31" s="20" t="s">
        <v>164</v>
      </c>
      <c r="J31" s="19" t="s">
        <v>152</v>
      </c>
      <c r="K31" s="19" t="s">
        <v>49</v>
      </c>
      <c r="L31" s="19" t="s">
        <v>50</v>
      </c>
      <c r="M31" s="19" t="s">
        <v>51</v>
      </c>
      <c r="N31" s="19" t="s">
        <v>51</v>
      </c>
      <c r="O31" s="19" t="s">
        <v>52</v>
      </c>
      <c r="P31" s="21" t="s">
        <v>53</v>
      </c>
      <c r="Q31" s="22">
        <v>0.04097222222222222</v>
      </c>
      <c r="R31" s="13">
        <v>0.027777777777777776</v>
      </c>
      <c r="S31" s="15">
        <f>Q31+R31</f>
        <v>0.06875</v>
      </c>
      <c r="T31" s="19" t="s">
        <v>54</v>
      </c>
      <c r="U31" s="12"/>
      <c r="V31" s="13">
        <f t="shared" si="1"/>
        <v>0.06875</v>
      </c>
      <c r="W31" s="19" t="s">
        <v>56</v>
      </c>
      <c r="X31" s="20" t="s">
        <v>57</v>
      </c>
      <c r="Y31" s="19" t="s">
        <v>74</v>
      </c>
      <c r="Z31" s="12"/>
      <c r="AA31" s="23"/>
      <c r="AB31" s="20" t="s">
        <v>45</v>
      </c>
      <c r="AC31" s="24"/>
      <c r="AD31" s="19" t="s">
        <v>98</v>
      </c>
      <c r="AE31" s="19" t="s">
        <v>165</v>
      </c>
      <c r="AF31" s="19" t="s">
        <v>63</v>
      </c>
      <c r="AG31" s="19" t="s">
        <v>166</v>
      </c>
      <c r="AH31" s="19" t="s">
        <v>167</v>
      </c>
      <c r="AI31" s="12"/>
      <c r="AJ31" s="12"/>
      <c r="AK31" s="12"/>
      <c r="AL31" s="12"/>
      <c r="AM31" s="12"/>
    </row>
    <row r="32" ht="104.25" customHeight="1">
      <c r="A32" s="25" t="s">
        <v>168</v>
      </c>
      <c r="B32" s="14"/>
      <c r="C32" s="25" t="s">
        <v>169</v>
      </c>
      <c r="D32" s="25" t="s">
        <v>170</v>
      </c>
      <c r="E32" s="14"/>
      <c r="F32" s="14"/>
      <c r="G32" s="25" t="s">
        <v>45</v>
      </c>
      <c r="H32" s="25" t="s">
        <v>171</v>
      </c>
      <c r="I32" s="28"/>
      <c r="J32" s="25" t="s">
        <v>152</v>
      </c>
      <c r="K32" s="25" t="s">
        <v>49</v>
      </c>
      <c r="L32" s="25" t="s">
        <v>50</v>
      </c>
      <c r="M32" s="25" t="s">
        <v>51</v>
      </c>
      <c r="N32" s="25" t="s">
        <v>51</v>
      </c>
      <c r="O32" s="25" t="s">
        <v>172</v>
      </c>
      <c r="P32" s="21" t="s">
        <v>53</v>
      </c>
      <c r="Q32" s="22">
        <v>0.04097222222222222</v>
      </c>
      <c r="R32" s="13">
        <v>0.027777777777777776</v>
      </c>
      <c r="S32" s="13">
        <f>TIMEVALUE(Q32+R32)</f>
        <v>0.06875</v>
      </c>
      <c r="T32" s="25" t="s">
        <v>54</v>
      </c>
      <c r="U32" s="25" t="s">
        <v>72</v>
      </c>
      <c r="V32" s="13">
        <f t="shared" si="1"/>
        <v>0.06875</v>
      </c>
      <c r="W32" s="19" t="s">
        <v>56</v>
      </c>
      <c r="X32" s="20" t="s">
        <v>57</v>
      </c>
      <c r="Y32" s="19" t="s">
        <v>159</v>
      </c>
      <c r="Z32" s="14"/>
      <c r="AA32" s="27"/>
      <c r="AB32" s="26" t="s">
        <v>45</v>
      </c>
      <c r="AC32" s="28"/>
      <c r="AD32" s="19" t="s">
        <v>155</v>
      </c>
      <c r="AE32" s="19" t="s">
        <v>63</v>
      </c>
      <c r="AF32" s="14"/>
      <c r="AG32" s="14"/>
      <c r="AH32" s="14"/>
      <c r="AI32" s="14"/>
      <c r="AJ32" s="14"/>
      <c r="AK32" s="14"/>
      <c r="AL32" s="14"/>
      <c r="AM32" s="14"/>
    </row>
    <row r="33" ht="104.25" customHeight="1">
      <c r="A33" s="19" t="s">
        <v>173</v>
      </c>
      <c r="B33" s="12"/>
      <c r="C33" s="19" t="s">
        <v>174</v>
      </c>
      <c r="D33" s="19" t="s">
        <v>175</v>
      </c>
      <c r="E33" s="19" t="s">
        <v>43</v>
      </c>
      <c r="F33" s="19" t="s">
        <v>176</v>
      </c>
      <c r="G33" s="19" t="s">
        <v>45</v>
      </c>
      <c r="H33" s="19" t="s">
        <v>177</v>
      </c>
      <c r="I33" s="20" t="s">
        <v>178</v>
      </c>
      <c r="J33" s="19" t="s">
        <v>152</v>
      </c>
      <c r="K33" s="19" t="s">
        <v>49</v>
      </c>
      <c r="L33" s="19" t="s">
        <v>50</v>
      </c>
      <c r="M33" s="19" t="s">
        <v>51</v>
      </c>
      <c r="N33" s="19" t="s">
        <v>51</v>
      </c>
      <c r="O33" s="19" t="s">
        <v>52</v>
      </c>
      <c r="P33" s="21" t="s">
        <v>53</v>
      </c>
      <c r="Q33" s="22">
        <v>0.04097222222222222</v>
      </c>
      <c r="R33" s="13">
        <v>0.027777777777777776</v>
      </c>
      <c r="S33" s="15">
        <f>Q33+R33</f>
        <v>0.06875</v>
      </c>
      <c r="T33" s="19" t="s">
        <v>54</v>
      </c>
      <c r="U33" s="19" t="s">
        <v>55</v>
      </c>
      <c r="V33" s="13">
        <f t="shared" si="1"/>
        <v>0.06875</v>
      </c>
      <c r="W33" s="19" t="s">
        <v>56</v>
      </c>
      <c r="X33" s="20" t="s">
        <v>57</v>
      </c>
      <c r="Y33" s="19" t="s">
        <v>159</v>
      </c>
      <c r="Z33" s="12"/>
      <c r="AA33" s="23"/>
      <c r="AB33" s="20" t="s">
        <v>45</v>
      </c>
      <c r="AC33" s="24"/>
      <c r="AD33" s="19" t="s">
        <v>179</v>
      </c>
      <c r="AE33" s="19" t="s">
        <v>180</v>
      </c>
      <c r="AF33" s="19" t="s">
        <v>63</v>
      </c>
      <c r="AG33" s="19" t="s">
        <v>181</v>
      </c>
      <c r="AH33" s="12"/>
      <c r="AI33" s="12"/>
      <c r="AJ33" s="12"/>
      <c r="AK33" s="12"/>
      <c r="AL33" s="12"/>
      <c r="AM33" s="12"/>
    </row>
    <row r="34" ht="39.0" customHeight="1">
      <c r="A34" s="25" t="s">
        <v>173</v>
      </c>
      <c r="B34" s="14"/>
      <c r="C34" s="25" t="s">
        <v>174</v>
      </c>
      <c r="D34" s="25" t="s">
        <v>175</v>
      </c>
      <c r="E34" s="25" t="s">
        <v>43</v>
      </c>
      <c r="F34" s="25" t="s">
        <v>176</v>
      </c>
      <c r="G34" s="25" t="s">
        <v>45</v>
      </c>
      <c r="H34" s="25" t="s">
        <v>177</v>
      </c>
      <c r="I34" s="26" t="s">
        <v>178</v>
      </c>
      <c r="J34" s="25" t="s">
        <v>152</v>
      </c>
      <c r="K34" s="25" t="s">
        <v>49</v>
      </c>
      <c r="L34" s="25" t="s">
        <v>50</v>
      </c>
      <c r="M34" s="25" t="s">
        <v>51</v>
      </c>
      <c r="N34" s="25" t="s">
        <v>51</v>
      </c>
      <c r="O34" s="25" t="s">
        <v>52</v>
      </c>
      <c r="P34" s="21" t="s">
        <v>53</v>
      </c>
      <c r="Q34" s="22">
        <v>0.04097222222222222</v>
      </c>
      <c r="R34" s="13">
        <v>0.034722222222222224</v>
      </c>
      <c r="S34" s="13">
        <f t="shared" ref="S34:S35" si="7">TIMEVALUE(Q34+R34)</f>
        <v>0.07569444444</v>
      </c>
      <c r="T34" s="25" t="s">
        <v>54</v>
      </c>
      <c r="U34" s="25" t="s">
        <v>158</v>
      </c>
      <c r="V34" s="13">
        <f t="shared" si="1"/>
        <v>0.07569444444</v>
      </c>
      <c r="W34" s="19" t="s">
        <v>56</v>
      </c>
      <c r="X34" s="20" t="s">
        <v>57</v>
      </c>
      <c r="Y34" s="19" t="s">
        <v>159</v>
      </c>
      <c r="Z34" s="14"/>
      <c r="AA34" s="27"/>
      <c r="AB34" s="26" t="s">
        <v>45</v>
      </c>
      <c r="AC34" s="28"/>
      <c r="AD34" s="25" t="s">
        <v>179</v>
      </c>
      <c r="AE34" s="25" t="s">
        <v>180</v>
      </c>
      <c r="AF34" s="25" t="s">
        <v>63</v>
      </c>
      <c r="AG34" s="25" t="s">
        <v>181</v>
      </c>
      <c r="AH34" s="14"/>
      <c r="AI34" s="14"/>
      <c r="AJ34" s="14"/>
      <c r="AK34" s="14"/>
      <c r="AL34" s="14"/>
      <c r="AM34" s="14"/>
    </row>
    <row r="35" ht="39.0" customHeight="1">
      <c r="A35" s="19" t="s">
        <v>173</v>
      </c>
      <c r="B35" s="12"/>
      <c r="C35" s="19" t="s">
        <v>174</v>
      </c>
      <c r="D35" s="19" t="s">
        <v>175</v>
      </c>
      <c r="E35" s="19" t="s">
        <v>43</v>
      </c>
      <c r="F35" s="19" t="s">
        <v>176</v>
      </c>
      <c r="G35" s="19" t="s">
        <v>45</v>
      </c>
      <c r="H35" s="19" t="s">
        <v>177</v>
      </c>
      <c r="I35" s="20" t="s">
        <v>178</v>
      </c>
      <c r="J35" s="19" t="s">
        <v>152</v>
      </c>
      <c r="K35" s="19" t="s">
        <v>49</v>
      </c>
      <c r="L35" s="19" t="s">
        <v>50</v>
      </c>
      <c r="M35" s="19" t="s">
        <v>51</v>
      </c>
      <c r="N35" s="19" t="s">
        <v>51</v>
      </c>
      <c r="O35" s="19" t="s">
        <v>52</v>
      </c>
      <c r="P35" s="21" t="s">
        <v>53</v>
      </c>
      <c r="Q35" s="22">
        <v>0.04097222222222222</v>
      </c>
      <c r="R35" s="13">
        <v>0.03680555555555556</v>
      </c>
      <c r="S35" s="13">
        <f t="shared" si="7"/>
        <v>0.07777777778</v>
      </c>
      <c r="T35" s="19" t="s">
        <v>54</v>
      </c>
      <c r="U35" s="12"/>
      <c r="V35" s="13">
        <f t="shared" si="1"/>
        <v>0.07777777778</v>
      </c>
      <c r="W35" s="19" t="s">
        <v>56</v>
      </c>
      <c r="X35" s="20" t="s">
        <v>57</v>
      </c>
      <c r="Y35" s="19" t="s">
        <v>159</v>
      </c>
      <c r="Z35" s="12"/>
      <c r="AA35" s="23"/>
      <c r="AB35" s="20" t="s">
        <v>45</v>
      </c>
      <c r="AC35" s="24"/>
      <c r="AD35" s="19" t="s">
        <v>179</v>
      </c>
      <c r="AE35" s="19" t="s">
        <v>180</v>
      </c>
      <c r="AF35" s="19" t="s">
        <v>63</v>
      </c>
      <c r="AG35" s="19" t="s">
        <v>181</v>
      </c>
      <c r="AH35" s="12"/>
      <c r="AI35" s="12"/>
      <c r="AJ35" s="12"/>
      <c r="AK35" s="12"/>
      <c r="AL35" s="12"/>
      <c r="AM35" s="12"/>
    </row>
    <row r="36" ht="65.25" customHeight="1">
      <c r="A36" s="19" t="s">
        <v>182</v>
      </c>
      <c r="B36" s="12"/>
      <c r="C36" s="19" t="s">
        <v>183</v>
      </c>
      <c r="D36" s="19" t="s">
        <v>184</v>
      </c>
      <c r="E36" s="19" t="s">
        <v>43</v>
      </c>
      <c r="F36" s="19" t="s">
        <v>185</v>
      </c>
      <c r="G36" s="19" t="s">
        <v>186</v>
      </c>
      <c r="H36" s="19" t="s">
        <v>187</v>
      </c>
      <c r="I36" s="20" t="s">
        <v>188</v>
      </c>
      <c r="J36" s="19" t="s">
        <v>152</v>
      </c>
      <c r="K36" s="19" t="s">
        <v>49</v>
      </c>
      <c r="L36" s="19" t="s">
        <v>50</v>
      </c>
      <c r="M36" s="19" t="s">
        <v>51</v>
      </c>
      <c r="N36" s="19" t="s">
        <v>51</v>
      </c>
      <c r="O36" s="19" t="s">
        <v>52</v>
      </c>
      <c r="P36" s="21" t="s">
        <v>53</v>
      </c>
      <c r="Q36" s="22">
        <v>0.04097222222222222</v>
      </c>
      <c r="R36" s="13">
        <v>0.03680555555555556</v>
      </c>
      <c r="S36" s="15">
        <f>Q36+R36</f>
        <v>0.07777777778</v>
      </c>
      <c r="T36" s="19" t="s">
        <v>54</v>
      </c>
      <c r="U36" s="19" t="s">
        <v>72</v>
      </c>
      <c r="V36" s="13">
        <f t="shared" si="1"/>
        <v>0.07777777778</v>
      </c>
      <c r="W36" s="19" t="s">
        <v>56</v>
      </c>
      <c r="X36" s="20" t="s">
        <v>57</v>
      </c>
      <c r="Y36" s="19" t="s">
        <v>159</v>
      </c>
      <c r="Z36" s="12"/>
      <c r="AA36" s="23"/>
      <c r="AB36" s="20" t="s">
        <v>45</v>
      </c>
      <c r="AC36" s="20" t="s">
        <v>189</v>
      </c>
      <c r="AD36" s="19" t="s">
        <v>190</v>
      </c>
      <c r="AE36" s="19" t="s">
        <v>180</v>
      </c>
      <c r="AF36" s="19" t="s">
        <v>63</v>
      </c>
      <c r="AG36" s="19" t="s">
        <v>191</v>
      </c>
      <c r="AH36" s="12"/>
      <c r="AI36" s="12"/>
      <c r="AJ36" s="12"/>
      <c r="AK36" s="12"/>
      <c r="AL36" s="12"/>
      <c r="AM36" s="12"/>
    </row>
    <row r="37" ht="65.25" customHeight="1">
      <c r="A37" s="25" t="s">
        <v>182</v>
      </c>
      <c r="B37" s="14"/>
      <c r="C37" s="25" t="s">
        <v>183</v>
      </c>
      <c r="D37" s="25" t="s">
        <v>184</v>
      </c>
      <c r="E37" s="25" t="s">
        <v>43</v>
      </c>
      <c r="F37" s="25" t="s">
        <v>185</v>
      </c>
      <c r="G37" s="25" t="s">
        <v>186</v>
      </c>
      <c r="H37" s="25" t="s">
        <v>187</v>
      </c>
      <c r="I37" s="26" t="s">
        <v>188</v>
      </c>
      <c r="J37" s="25" t="s">
        <v>152</v>
      </c>
      <c r="K37" s="25" t="s">
        <v>49</v>
      </c>
      <c r="L37" s="25" t="s">
        <v>50</v>
      </c>
      <c r="M37" s="25" t="s">
        <v>51</v>
      </c>
      <c r="N37" s="25" t="s">
        <v>51</v>
      </c>
      <c r="O37" s="25" t="s">
        <v>52</v>
      </c>
      <c r="P37" s="21" t="s">
        <v>53</v>
      </c>
      <c r="Q37" s="22">
        <v>0.04097222222222222</v>
      </c>
      <c r="R37" s="13">
        <v>0.03680555555555556</v>
      </c>
      <c r="S37" s="13">
        <f>TIMEVALUE(Q37+R37)</f>
        <v>0.07777777778</v>
      </c>
      <c r="T37" s="25" t="s">
        <v>54</v>
      </c>
      <c r="U37" s="14"/>
      <c r="V37" s="13">
        <f t="shared" si="1"/>
        <v>0.07777777778</v>
      </c>
      <c r="W37" s="19" t="s">
        <v>56</v>
      </c>
      <c r="X37" s="20" t="s">
        <v>57</v>
      </c>
      <c r="Y37" s="19" t="s">
        <v>159</v>
      </c>
      <c r="Z37" s="14"/>
      <c r="AA37" s="27"/>
      <c r="AB37" s="26" t="s">
        <v>45</v>
      </c>
      <c r="AC37" s="26" t="s">
        <v>189</v>
      </c>
      <c r="AD37" s="25" t="s">
        <v>190</v>
      </c>
      <c r="AE37" s="25" t="s">
        <v>180</v>
      </c>
      <c r="AF37" s="25" t="s">
        <v>63</v>
      </c>
      <c r="AG37" s="25" t="s">
        <v>191</v>
      </c>
      <c r="AH37" s="14"/>
      <c r="AI37" s="14"/>
      <c r="AJ37" s="14"/>
      <c r="AK37" s="14"/>
      <c r="AL37" s="14"/>
      <c r="AM37" s="14"/>
    </row>
    <row r="38" ht="65.25" customHeight="1">
      <c r="A38" s="25" t="s">
        <v>192</v>
      </c>
      <c r="B38" s="14"/>
      <c r="C38" s="25" t="s">
        <v>193</v>
      </c>
      <c r="D38" s="25" t="s">
        <v>194</v>
      </c>
      <c r="E38" s="25" t="s">
        <v>43</v>
      </c>
      <c r="F38" s="25" t="s">
        <v>195</v>
      </c>
      <c r="G38" s="25" t="s">
        <v>45</v>
      </c>
      <c r="H38" s="25" t="s">
        <v>196</v>
      </c>
      <c r="I38" s="26" t="s">
        <v>197</v>
      </c>
      <c r="J38" s="25" t="s">
        <v>152</v>
      </c>
      <c r="K38" s="25" t="s">
        <v>49</v>
      </c>
      <c r="L38" s="25" t="s">
        <v>50</v>
      </c>
      <c r="M38" s="25" t="s">
        <v>51</v>
      </c>
      <c r="N38" s="25" t="s">
        <v>51</v>
      </c>
      <c r="O38" s="25" t="s">
        <v>52</v>
      </c>
      <c r="P38" s="21" t="s">
        <v>53</v>
      </c>
      <c r="Q38" s="22">
        <v>0.04097222222222222</v>
      </c>
      <c r="R38" s="13">
        <v>0.03680555555555556</v>
      </c>
      <c r="S38" s="15">
        <f>Q38+R38</f>
        <v>0.07777777778</v>
      </c>
      <c r="T38" s="25" t="s">
        <v>54</v>
      </c>
      <c r="U38" s="25" t="s">
        <v>72</v>
      </c>
      <c r="V38" s="13">
        <f t="shared" si="1"/>
        <v>0.07777777778</v>
      </c>
      <c r="W38" s="19" t="s">
        <v>56</v>
      </c>
      <c r="X38" s="20" t="s">
        <v>57</v>
      </c>
      <c r="Y38" s="19" t="s">
        <v>159</v>
      </c>
      <c r="Z38" s="14"/>
      <c r="AA38" s="27"/>
      <c r="AB38" s="26" t="s">
        <v>45</v>
      </c>
      <c r="AC38" s="28"/>
      <c r="AD38" s="25" t="s">
        <v>198</v>
      </c>
      <c r="AE38" s="25" t="s">
        <v>190</v>
      </c>
      <c r="AF38" s="25" t="s">
        <v>63</v>
      </c>
      <c r="AG38" s="25" t="s">
        <v>82</v>
      </c>
      <c r="AH38" s="25" t="s">
        <v>181</v>
      </c>
      <c r="AI38" s="14"/>
      <c r="AJ38" s="14"/>
      <c r="AK38" s="14"/>
      <c r="AL38" s="14"/>
      <c r="AM38" s="14"/>
    </row>
    <row r="39" ht="65.25" customHeight="1">
      <c r="A39" s="19" t="s">
        <v>192</v>
      </c>
      <c r="B39" s="12"/>
      <c r="C39" s="19" t="s">
        <v>193</v>
      </c>
      <c r="D39" s="19" t="s">
        <v>194</v>
      </c>
      <c r="E39" s="19" t="s">
        <v>43</v>
      </c>
      <c r="F39" s="19" t="s">
        <v>195</v>
      </c>
      <c r="G39" s="19" t="s">
        <v>45</v>
      </c>
      <c r="H39" s="19" t="s">
        <v>196</v>
      </c>
      <c r="I39" s="20" t="s">
        <v>197</v>
      </c>
      <c r="J39" s="19" t="s">
        <v>152</v>
      </c>
      <c r="K39" s="19" t="s">
        <v>49</v>
      </c>
      <c r="L39" s="19" t="s">
        <v>50</v>
      </c>
      <c r="M39" s="19" t="s">
        <v>51</v>
      </c>
      <c r="N39" s="19" t="s">
        <v>51</v>
      </c>
      <c r="O39" s="19" t="s">
        <v>52</v>
      </c>
      <c r="P39" s="21" t="s">
        <v>53</v>
      </c>
      <c r="Q39" s="22">
        <v>0.04097222222222222</v>
      </c>
      <c r="R39" s="13">
        <v>0.03680555555555556</v>
      </c>
      <c r="S39" s="13">
        <f t="shared" ref="S39:S40" si="8">TIMEVALUE(Q39+R39)</f>
        <v>0.07777777778</v>
      </c>
      <c r="T39" s="19" t="s">
        <v>54</v>
      </c>
      <c r="U39" s="12"/>
      <c r="V39" s="13">
        <f t="shared" si="1"/>
        <v>0.07777777778</v>
      </c>
      <c r="W39" s="19" t="s">
        <v>56</v>
      </c>
      <c r="X39" s="20" t="s">
        <v>57</v>
      </c>
      <c r="Y39" s="19" t="s">
        <v>159</v>
      </c>
      <c r="Z39" s="12"/>
      <c r="AA39" s="23"/>
      <c r="AB39" s="20" t="s">
        <v>45</v>
      </c>
      <c r="AC39" s="24"/>
      <c r="AD39" s="19" t="s">
        <v>198</v>
      </c>
      <c r="AE39" s="19" t="s">
        <v>190</v>
      </c>
      <c r="AF39" s="19" t="s">
        <v>63</v>
      </c>
      <c r="AG39" s="19" t="s">
        <v>82</v>
      </c>
      <c r="AH39" s="19" t="s">
        <v>181</v>
      </c>
      <c r="AI39" s="12"/>
      <c r="AJ39" s="12"/>
      <c r="AK39" s="12"/>
      <c r="AL39" s="12"/>
      <c r="AM39" s="12"/>
    </row>
    <row r="40" ht="78.0" customHeight="1">
      <c r="A40" s="25" t="s">
        <v>199</v>
      </c>
      <c r="B40" s="14"/>
      <c r="C40" s="25" t="s">
        <v>200</v>
      </c>
      <c r="D40" s="25" t="s">
        <v>201</v>
      </c>
      <c r="E40" s="25" t="s">
        <v>43</v>
      </c>
      <c r="F40" s="25" t="s">
        <v>202</v>
      </c>
      <c r="G40" s="25" t="s">
        <v>45</v>
      </c>
      <c r="H40" s="25" t="s">
        <v>203</v>
      </c>
      <c r="I40" s="26" t="s">
        <v>204</v>
      </c>
      <c r="J40" s="25" t="s">
        <v>152</v>
      </c>
      <c r="K40" s="25" t="s">
        <v>49</v>
      </c>
      <c r="L40" s="25" t="s">
        <v>50</v>
      </c>
      <c r="M40" s="25" t="s">
        <v>51</v>
      </c>
      <c r="N40" s="25" t="s">
        <v>51</v>
      </c>
      <c r="O40" s="25" t="s">
        <v>52</v>
      </c>
      <c r="P40" s="21" t="s">
        <v>53</v>
      </c>
      <c r="Q40" s="22">
        <v>0.04097222222222222</v>
      </c>
      <c r="R40" s="13">
        <v>0.03680555555555556</v>
      </c>
      <c r="S40" s="13">
        <f t="shared" si="8"/>
        <v>0.07777777778</v>
      </c>
      <c r="T40" s="25" t="s">
        <v>54</v>
      </c>
      <c r="U40" s="25" t="s">
        <v>72</v>
      </c>
      <c r="V40" s="13">
        <f t="shared" si="1"/>
        <v>0.07777777778</v>
      </c>
      <c r="W40" s="19" t="s">
        <v>56</v>
      </c>
      <c r="X40" s="20" t="s">
        <v>57</v>
      </c>
      <c r="Y40" s="19" t="s">
        <v>159</v>
      </c>
      <c r="Z40" s="14"/>
      <c r="AA40" s="27"/>
      <c r="AB40" s="26" t="s">
        <v>45</v>
      </c>
      <c r="AC40" s="28"/>
      <c r="AD40" s="25" t="s">
        <v>205</v>
      </c>
      <c r="AE40" s="25" t="s">
        <v>206</v>
      </c>
      <c r="AF40" s="25" t="s">
        <v>63</v>
      </c>
      <c r="AG40" s="14"/>
      <c r="AH40" s="14"/>
      <c r="AI40" s="14"/>
      <c r="AJ40" s="14"/>
      <c r="AK40" s="14"/>
      <c r="AL40" s="14"/>
      <c r="AM40" s="14"/>
    </row>
    <row r="41" ht="78.0" customHeight="1">
      <c r="A41" s="19" t="s">
        <v>199</v>
      </c>
      <c r="B41" s="12"/>
      <c r="C41" s="19" t="s">
        <v>200</v>
      </c>
      <c r="D41" s="19" t="s">
        <v>201</v>
      </c>
      <c r="E41" s="19" t="s">
        <v>43</v>
      </c>
      <c r="F41" s="19" t="s">
        <v>202</v>
      </c>
      <c r="G41" s="19" t="s">
        <v>45</v>
      </c>
      <c r="H41" s="19" t="s">
        <v>203</v>
      </c>
      <c r="I41" s="20" t="s">
        <v>204</v>
      </c>
      <c r="J41" s="19" t="s">
        <v>152</v>
      </c>
      <c r="K41" s="19" t="s">
        <v>49</v>
      </c>
      <c r="L41" s="19" t="s">
        <v>50</v>
      </c>
      <c r="M41" s="19" t="s">
        <v>51</v>
      </c>
      <c r="N41" s="19" t="s">
        <v>51</v>
      </c>
      <c r="O41" s="19" t="s">
        <v>52</v>
      </c>
      <c r="P41" s="21" t="s">
        <v>53</v>
      </c>
      <c r="Q41" s="22">
        <v>0.04097222222222222</v>
      </c>
      <c r="R41" s="13">
        <v>0.03680555555555556</v>
      </c>
      <c r="S41" s="15">
        <f>Q41+R41</f>
        <v>0.07777777778</v>
      </c>
      <c r="T41" s="19" t="s">
        <v>54</v>
      </c>
      <c r="U41" s="12"/>
      <c r="V41" s="13">
        <f t="shared" si="1"/>
        <v>0.07777777778</v>
      </c>
      <c r="W41" s="19" t="s">
        <v>56</v>
      </c>
      <c r="X41" s="20" t="s">
        <v>57</v>
      </c>
      <c r="Y41" s="19" t="s">
        <v>159</v>
      </c>
      <c r="Z41" s="12"/>
      <c r="AA41" s="23"/>
      <c r="AB41" s="20" t="s">
        <v>45</v>
      </c>
      <c r="AC41" s="24"/>
      <c r="AD41" s="19" t="s">
        <v>205</v>
      </c>
      <c r="AE41" s="19" t="s">
        <v>206</v>
      </c>
      <c r="AF41" s="19" t="s">
        <v>63</v>
      </c>
      <c r="AG41" s="12"/>
      <c r="AH41" s="12"/>
      <c r="AI41" s="12"/>
      <c r="AJ41" s="12"/>
      <c r="AK41" s="12"/>
      <c r="AL41" s="12"/>
      <c r="AM41" s="12"/>
    </row>
    <row r="42" ht="39.0" customHeight="1">
      <c r="A42" s="25" t="s">
        <v>207</v>
      </c>
      <c r="B42" s="14"/>
      <c r="C42" s="25" t="s">
        <v>208</v>
      </c>
      <c r="D42" s="25" t="s">
        <v>209</v>
      </c>
      <c r="E42" s="25" t="s">
        <v>43</v>
      </c>
      <c r="F42" s="25" t="s">
        <v>210</v>
      </c>
      <c r="G42" s="25" t="s">
        <v>45</v>
      </c>
      <c r="H42" s="25" t="s">
        <v>211</v>
      </c>
      <c r="I42" s="26" t="s">
        <v>212</v>
      </c>
      <c r="J42" s="25" t="s">
        <v>152</v>
      </c>
      <c r="K42" s="25" t="s">
        <v>49</v>
      </c>
      <c r="L42" s="25" t="s">
        <v>50</v>
      </c>
      <c r="M42" s="25" t="s">
        <v>51</v>
      </c>
      <c r="N42" s="25" t="s">
        <v>51</v>
      </c>
      <c r="O42" s="25" t="s">
        <v>52</v>
      </c>
      <c r="P42" s="21" t="s">
        <v>53</v>
      </c>
      <c r="Q42" s="22">
        <v>0.04097222222222222</v>
      </c>
      <c r="R42" s="13">
        <v>0.03680555555555556</v>
      </c>
      <c r="S42" s="13">
        <f>TIMEVALUE(Q42+R42)</f>
        <v>0.07777777778</v>
      </c>
      <c r="T42" s="25" t="s">
        <v>54</v>
      </c>
      <c r="U42" s="25" t="s">
        <v>72</v>
      </c>
      <c r="V42" s="13">
        <f t="shared" si="1"/>
        <v>0.07777777778</v>
      </c>
      <c r="W42" s="19" t="s">
        <v>56</v>
      </c>
      <c r="X42" s="20" t="s">
        <v>57</v>
      </c>
      <c r="Y42" s="19" t="s">
        <v>159</v>
      </c>
      <c r="Z42" s="14"/>
      <c r="AA42" s="27"/>
      <c r="AB42" s="26" t="s">
        <v>45</v>
      </c>
      <c r="AC42" s="28"/>
      <c r="AD42" s="25" t="s">
        <v>213</v>
      </c>
      <c r="AE42" s="25" t="s">
        <v>214</v>
      </c>
      <c r="AF42" s="25" t="s">
        <v>215</v>
      </c>
      <c r="AG42" s="25" t="s">
        <v>63</v>
      </c>
      <c r="AH42" s="14"/>
      <c r="AI42" s="14"/>
      <c r="AJ42" s="14"/>
      <c r="AK42" s="14"/>
      <c r="AL42" s="14"/>
      <c r="AM42" s="14"/>
    </row>
    <row r="43" ht="39.0" customHeight="1">
      <c r="A43" s="19" t="s">
        <v>207</v>
      </c>
      <c r="B43" s="12"/>
      <c r="C43" s="19" t="s">
        <v>208</v>
      </c>
      <c r="D43" s="19" t="s">
        <v>209</v>
      </c>
      <c r="E43" s="19" t="s">
        <v>43</v>
      </c>
      <c r="F43" s="19" t="s">
        <v>210</v>
      </c>
      <c r="G43" s="19" t="s">
        <v>45</v>
      </c>
      <c r="H43" s="19" t="s">
        <v>211</v>
      </c>
      <c r="I43" s="20" t="s">
        <v>212</v>
      </c>
      <c r="J43" s="19" t="s">
        <v>152</v>
      </c>
      <c r="K43" s="19" t="s">
        <v>49</v>
      </c>
      <c r="L43" s="19" t="s">
        <v>50</v>
      </c>
      <c r="M43" s="19" t="s">
        <v>51</v>
      </c>
      <c r="N43" s="19" t="s">
        <v>51</v>
      </c>
      <c r="O43" s="19" t="s">
        <v>52</v>
      </c>
      <c r="P43" s="21" t="s">
        <v>53</v>
      </c>
      <c r="Q43" s="22">
        <v>0.04097222222222222</v>
      </c>
      <c r="R43" s="13">
        <v>0.03680555555555556</v>
      </c>
      <c r="S43" s="15">
        <f>Q43+R43</f>
        <v>0.07777777778</v>
      </c>
      <c r="T43" s="19" t="s">
        <v>54</v>
      </c>
      <c r="U43" s="12"/>
      <c r="V43" s="13">
        <f t="shared" si="1"/>
        <v>0.07777777778</v>
      </c>
      <c r="W43" s="19" t="s">
        <v>56</v>
      </c>
      <c r="X43" s="20" t="s">
        <v>57</v>
      </c>
      <c r="Y43" s="19" t="s">
        <v>159</v>
      </c>
      <c r="Z43" s="12"/>
      <c r="AA43" s="23"/>
      <c r="AB43" s="20" t="s">
        <v>45</v>
      </c>
      <c r="AC43" s="24"/>
      <c r="AD43" s="19" t="s">
        <v>213</v>
      </c>
      <c r="AE43" s="19" t="s">
        <v>214</v>
      </c>
      <c r="AF43" s="19" t="s">
        <v>215</v>
      </c>
      <c r="AG43" s="19" t="s">
        <v>63</v>
      </c>
      <c r="AH43" s="12"/>
      <c r="AI43" s="12"/>
      <c r="AJ43" s="12"/>
      <c r="AK43" s="12"/>
      <c r="AL43" s="12"/>
      <c r="AM43" s="12"/>
    </row>
    <row r="44" ht="78.0" customHeight="1">
      <c r="A44" s="25" t="s">
        <v>216</v>
      </c>
      <c r="B44" s="14"/>
      <c r="C44" s="25" t="s">
        <v>174</v>
      </c>
      <c r="D44" s="25" t="s">
        <v>217</v>
      </c>
      <c r="E44" s="25" t="s">
        <v>43</v>
      </c>
      <c r="F44" s="25" t="s">
        <v>218</v>
      </c>
      <c r="G44" s="25" t="s">
        <v>45</v>
      </c>
      <c r="H44" s="25" t="s">
        <v>219</v>
      </c>
      <c r="I44" s="26" t="s">
        <v>220</v>
      </c>
      <c r="J44" s="25" t="s">
        <v>152</v>
      </c>
      <c r="K44" s="25" t="s">
        <v>49</v>
      </c>
      <c r="L44" s="25" t="s">
        <v>50</v>
      </c>
      <c r="M44" s="25" t="s">
        <v>51</v>
      </c>
      <c r="N44" s="25" t="s">
        <v>51</v>
      </c>
      <c r="O44" s="25" t="s">
        <v>52</v>
      </c>
      <c r="P44" s="21" t="s">
        <v>53</v>
      </c>
      <c r="Q44" s="22">
        <v>0.04097222222222222</v>
      </c>
      <c r="R44" s="13">
        <v>0.03680555555555556</v>
      </c>
      <c r="S44" s="13">
        <f t="shared" ref="S44:S45" si="9">TIMEVALUE(Q44+R44)</f>
        <v>0.07777777778</v>
      </c>
      <c r="T44" s="25" t="s">
        <v>54</v>
      </c>
      <c r="U44" s="25" t="s">
        <v>72</v>
      </c>
      <c r="V44" s="13">
        <f t="shared" si="1"/>
        <v>0.07777777778</v>
      </c>
      <c r="W44" s="19" t="s">
        <v>56</v>
      </c>
      <c r="X44" s="20" t="s">
        <v>57</v>
      </c>
      <c r="Y44" s="19" t="s">
        <v>159</v>
      </c>
      <c r="Z44" s="14"/>
      <c r="AA44" s="27"/>
      <c r="AB44" s="26" t="s">
        <v>45</v>
      </c>
      <c r="AC44" s="28"/>
      <c r="AD44" s="25" t="s">
        <v>98</v>
      </c>
      <c r="AE44" s="25" t="s">
        <v>63</v>
      </c>
      <c r="AF44" s="14"/>
      <c r="AG44" s="14"/>
      <c r="AH44" s="14"/>
      <c r="AI44" s="14"/>
      <c r="AJ44" s="14"/>
      <c r="AK44" s="14"/>
      <c r="AL44" s="14"/>
      <c r="AM44" s="14"/>
    </row>
    <row r="45" ht="78.0" customHeight="1">
      <c r="A45" s="25" t="s">
        <v>221</v>
      </c>
      <c r="B45" s="14"/>
      <c r="C45" s="25" t="s">
        <v>222</v>
      </c>
      <c r="D45" s="25" t="s">
        <v>223</v>
      </c>
      <c r="E45" s="25" t="s">
        <v>43</v>
      </c>
      <c r="F45" s="25" t="s">
        <v>224</v>
      </c>
      <c r="G45" s="25" t="s">
        <v>45</v>
      </c>
      <c r="H45" s="25" t="s">
        <v>225</v>
      </c>
      <c r="I45" s="26" t="s">
        <v>226</v>
      </c>
      <c r="J45" s="25" t="s">
        <v>152</v>
      </c>
      <c r="K45" s="25" t="s">
        <v>49</v>
      </c>
      <c r="L45" s="25" t="s">
        <v>50</v>
      </c>
      <c r="M45" s="25" t="s">
        <v>51</v>
      </c>
      <c r="N45" s="25" t="s">
        <v>51</v>
      </c>
      <c r="O45" s="25" t="s">
        <v>52</v>
      </c>
      <c r="P45" s="21" t="s">
        <v>53</v>
      </c>
      <c r="Q45" s="22">
        <v>0.04097222222222222</v>
      </c>
      <c r="R45" s="13">
        <v>0.03680555555555556</v>
      </c>
      <c r="S45" s="13">
        <f t="shared" si="9"/>
        <v>0.07777777778</v>
      </c>
      <c r="T45" s="25" t="s">
        <v>54</v>
      </c>
      <c r="U45" s="25" t="s">
        <v>72</v>
      </c>
      <c r="V45" s="13">
        <f t="shared" si="1"/>
        <v>0.07777777778</v>
      </c>
      <c r="W45" s="19" t="s">
        <v>56</v>
      </c>
      <c r="X45" s="20" t="s">
        <v>57</v>
      </c>
      <c r="Y45" s="19" t="s">
        <v>159</v>
      </c>
      <c r="Z45" s="14"/>
      <c r="AA45" s="27"/>
      <c r="AB45" s="26" t="s">
        <v>45</v>
      </c>
      <c r="AC45" s="28"/>
      <c r="AD45" s="25" t="s">
        <v>227</v>
      </c>
      <c r="AE45" s="25" t="s">
        <v>198</v>
      </c>
      <c r="AF45" s="25" t="s">
        <v>190</v>
      </c>
      <c r="AG45" s="25" t="s">
        <v>214</v>
      </c>
      <c r="AH45" s="25" t="s">
        <v>63</v>
      </c>
      <c r="AI45" s="25" t="s">
        <v>82</v>
      </c>
      <c r="AJ45" s="25" t="s">
        <v>181</v>
      </c>
      <c r="AK45" s="14"/>
      <c r="AL45" s="14"/>
      <c r="AM45" s="14"/>
    </row>
    <row r="46" ht="39.0" customHeight="1">
      <c r="A46" s="19" t="s">
        <v>221</v>
      </c>
      <c r="B46" s="12"/>
      <c r="C46" s="19" t="s">
        <v>222</v>
      </c>
      <c r="D46" s="19" t="s">
        <v>223</v>
      </c>
      <c r="E46" s="19" t="s">
        <v>43</v>
      </c>
      <c r="F46" s="19" t="s">
        <v>224</v>
      </c>
      <c r="G46" s="19" t="s">
        <v>45</v>
      </c>
      <c r="H46" s="19" t="s">
        <v>225</v>
      </c>
      <c r="I46" s="20" t="s">
        <v>226</v>
      </c>
      <c r="J46" s="19" t="s">
        <v>152</v>
      </c>
      <c r="K46" s="19" t="s">
        <v>49</v>
      </c>
      <c r="L46" s="19" t="s">
        <v>50</v>
      </c>
      <c r="M46" s="19" t="s">
        <v>51</v>
      </c>
      <c r="N46" s="19" t="s">
        <v>51</v>
      </c>
      <c r="O46" s="19" t="s">
        <v>52</v>
      </c>
      <c r="P46" s="21" t="s">
        <v>53</v>
      </c>
      <c r="Q46" s="22">
        <v>0.04097222222222222</v>
      </c>
      <c r="R46" s="13">
        <v>0.03680555555555556</v>
      </c>
      <c r="S46" s="15">
        <f>Q46+R46</f>
        <v>0.07777777778</v>
      </c>
      <c r="T46" s="19" t="s">
        <v>54</v>
      </c>
      <c r="U46" s="12"/>
      <c r="V46" s="13">
        <f t="shared" si="1"/>
        <v>0.07777777778</v>
      </c>
      <c r="W46" s="19" t="s">
        <v>56</v>
      </c>
      <c r="X46" s="20" t="s">
        <v>57</v>
      </c>
      <c r="Y46" s="19" t="s">
        <v>159</v>
      </c>
      <c r="Z46" s="12"/>
      <c r="AA46" s="23"/>
      <c r="AB46" s="20" t="s">
        <v>45</v>
      </c>
      <c r="AC46" s="24"/>
      <c r="AD46" s="19" t="s">
        <v>227</v>
      </c>
      <c r="AE46" s="19" t="s">
        <v>198</v>
      </c>
      <c r="AF46" s="19" t="s">
        <v>190</v>
      </c>
      <c r="AG46" s="19" t="s">
        <v>214</v>
      </c>
      <c r="AH46" s="19" t="s">
        <v>63</v>
      </c>
      <c r="AI46" s="19" t="s">
        <v>82</v>
      </c>
      <c r="AJ46" s="19" t="s">
        <v>181</v>
      </c>
      <c r="AK46" s="12"/>
      <c r="AL46" s="12"/>
      <c r="AM46" s="12"/>
    </row>
    <row r="47" ht="39.0" customHeight="1">
      <c r="A47" s="25" t="s">
        <v>228</v>
      </c>
      <c r="B47" s="14"/>
      <c r="C47" s="25" t="s">
        <v>229</v>
      </c>
      <c r="D47" s="25" t="s">
        <v>230</v>
      </c>
      <c r="E47" s="25" t="s">
        <v>43</v>
      </c>
      <c r="F47" s="25" t="s">
        <v>231</v>
      </c>
      <c r="G47" s="25" t="s">
        <v>45</v>
      </c>
      <c r="H47" s="25" t="s">
        <v>232</v>
      </c>
      <c r="I47" s="26" t="s">
        <v>71</v>
      </c>
      <c r="J47" s="25" t="s">
        <v>152</v>
      </c>
      <c r="K47" s="25" t="s">
        <v>49</v>
      </c>
      <c r="L47" s="25" t="s">
        <v>50</v>
      </c>
      <c r="M47" s="25" t="s">
        <v>51</v>
      </c>
      <c r="N47" s="25" t="s">
        <v>51</v>
      </c>
      <c r="O47" s="25" t="s">
        <v>172</v>
      </c>
      <c r="P47" s="21" t="s">
        <v>53</v>
      </c>
      <c r="Q47" s="22">
        <v>0.04097222222222222</v>
      </c>
      <c r="R47" s="13">
        <v>0.03680555555555556</v>
      </c>
      <c r="S47" s="13">
        <f>TIMEVALUE(Q47+R47)</f>
        <v>0.07777777778</v>
      </c>
      <c r="T47" s="25" t="s">
        <v>233</v>
      </c>
      <c r="U47" s="25" t="s">
        <v>72</v>
      </c>
      <c r="V47" s="13">
        <f t="shared" si="1"/>
        <v>0.07777777778</v>
      </c>
      <c r="W47" s="19" t="s">
        <v>56</v>
      </c>
      <c r="X47" s="20" t="s">
        <v>57</v>
      </c>
      <c r="Y47" s="19" t="s">
        <v>159</v>
      </c>
      <c r="Z47" s="14"/>
      <c r="AA47" s="27"/>
      <c r="AB47" s="26" t="s">
        <v>45</v>
      </c>
      <c r="AC47" s="28"/>
      <c r="AD47" s="25" t="s">
        <v>63</v>
      </c>
      <c r="AE47" s="14"/>
      <c r="AF47" s="14"/>
      <c r="AG47" s="14"/>
      <c r="AH47" s="14"/>
      <c r="AI47" s="14"/>
      <c r="AJ47" s="14"/>
      <c r="AK47" s="14"/>
      <c r="AL47" s="14"/>
      <c r="AM47" s="14"/>
    </row>
    <row r="48" ht="39.0" customHeight="1">
      <c r="A48" s="25" t="s">
        <v>234</v>
      </c>
      <c r="B48" s="14"/>
      <c r="C48" s="25" t="s">
        <v>235</v>
      </c>
      <c r="D48" s="25" t="s">
        <v>236</v>
      </c>
      <c r="E48" s="25" t="s">
        <v>43</v>
      </c>
      <c r="F48" s="25" t="s">
        <v>237</v>
      </c>
      <c r="G48" s="25" t="s">
        <v>45</v>
      </c>
      <c r="H48" s="25" t="s">
        <v>238</v>
      </c>
      <c r="I48" s="26" t="s">
        <v>239</v>
      </c>
      <c r="J48" s="25" t="s">
        <v>152</v>
      </c>
      <c r="K48" s="25" t="s">
        <v>49</v>
      </c>
      <c r="L48" s="25" t="s">
        <v>50</v>
      </c>
      <c r="M48" s="25" t="s">
        <v>51</v>
      </c>
      <c r="N48" s="25" t="s">
        <v>51</v>
      </c>
      <c r="O48" s="25" t="s">
        <v>172</v>
      </c>
      <c r="P48" s="21" t="s">
        <v>53</v>
      </c>
      <c r="Q48" s="22">
        <v>0.04097222222222222</v>
      </c>
      <c r="R48" s="13">
        <v>0.03680555555555556</v>
      </c>
      <c r="S48" s="15">
        <f>Q48+R48</f>
        <v>0.07777777778</v>
      </c>
      <c r="T48" s="25" t="s">
        <v>233</v>
      </c>
      <c r="U48" s="25" t="s">
        <v>72</v>
      </c>
      <c r="V48" s="13">
        <f t="shared" si="1"/>
        <v>0.07777777778</v>
      </c>
      <c r="W48" s="19" t="s">
        <v>56</v>
      </c>
      <c r="X48" s="20" t="s">
        <v>57</v>
      </c>
      <c r="Y48" s="25" t="s">
        <v>73</v>
      </c>
      <c r="Z48" s="14"/>
      <c r="AA48" s="27"/>
      <c r="AB48" s="26" t="s">
        <v>45</v>
      </c>
      <c r="AC48" s="28"/>
      <c r="AD48" s="25" t="s">
        <v>240</v>
      </c>
      <c r="AE48" s="25" t="s">
        <v>241</v>
      </c>
      <c r="AF48" s="25" t="s">
        <v>213</v>
      </c>
      <c r="AG48" s="25" t="s">
        <v>82</v>
      </c>
      <c r="AH48" s="25" t="s">
        <v>181</v>
      </c>
      <c r="AI48" s="25" t="s">
        <v>157</v>
      </c>
      <c r="AJ48" s="14"/>
      <c r="AK48" s="14"/>
      <c r="AL48" s="14"/>
      <c r="AM48" s="14"/>
    </row>
    <row r="49" ht="78.0" customHeight="1">
      <c r="A49" s="19" t="s">
        <v>234</v>
      </c>
      <c r="B49" s="12"/>
      <c r="C49" s="19" t="s">
        <v>242</v>
      </c>
      <c r="D49" s="19" t="s">
        <v>243</v>
      </c>
      <c r="E49" s="19" t="s">
        <v>43</v>
      </c>
      <c r="F49" s="19" t="s">
        <v>244</v>
      </c>
      <c r="G49" s="19" t="s">
        <v>45</v>
      </c>
      <c r="H49" s="19" t="s">
        <v>245</v>
      </c>
      <c r="I49" s="20" t="s">
        <v>246</v>
      </c>
      <c r="J49" s="19" t="s">
        <v>152</v>
      </c>
      <c r="K49" s="19" t="s">
        <v>49</v>
      </c>
      <c r="L49" s="19" t="s">
        <v>50</v>
      </c>
      <c r="M49" s="19" t="s">
        <v>51</v>
      </c>
      <c r="N49" s="19" t="s">
        <v>51</v>
      </c>
      <c r="O49" s="19" t="s">
        <v>52</v>
      </c>
      <c r="P49" s="21" t="s">
        <v>53</v>
      </c>
      <c r="Q49" s="22">
        <v>0.04097222222222222</v>
      </c>
      <c r="R49" s="13">
        <v>0.03680555555555556</v>
      </c>
      <c r="S49" s="13">
        <f t="shared" ref="S49:S50" si="10">TIMEVALUE(Q49+R49)</f>
        <v>0.07777777778</v>
      </c>
      <c r="T49" s="19" t="s">
        <v>118</v>
      </c>
      <c r="U49" s="19" t="s">
        <v>72</v>
      </c>
      <c r="V49" s="13">
        <f t="shared" si="1"/>
        <v>0.07777777778</v>
      </c>
      <c r="W49" s="19" t="s">
        <v>56</v>
      </c>
      <c r="X49" s="20" t="s">
        <v>57</v>
      </c>
      <c r="Y49" s="19" t="s">
        <v>73</v>
      </c>
      <c r="Z49" s="12"/>
      <c r="AA49" s="23"/>
      <c r="AB49" s="20" t="s">
        <v>45</v>
      </c>
      <c r="AC49" s="24"/>
      <c r="AD49" s="19" t="s">
        <v>98</v>
      </c>
      <c r="AE49" s="19" t="s">
        <v>190</v>
      </c>
      <c r="AF49" s="19" t="s">
        <v>63</v>
      </c>
      <c r="AG49" s="19" t="s">
        <v>247</v>
      </c>
      <c r="AH49" s="12"/>
      <c r="AI49" s="12"/>
      <c r="AJ49" s="12"/>
      <c r="AK49" s="12"/>
      <c r="AL49" s="12"/>
      <c r="AM49" s="12"/>
    </row>
    <row r="50" ht="78.0" customHeight="1">
      <c r="A50" s="25" t="s">
        <v>234</v>
      </c>
      <c r="B50" s="14"/>
      <c r="C50" s="25" t="s">
        <v>242</v>
      </c>
      <c r="D50" s="25" t="s">
        <v>243</v>
      </c>
      <c r="E50" s="25" t="s">
        <v>43</v>
      </c>
      <c r="F50" s="25" t="s">
        <v>244</v>
      </c>
      <c r="G50" s="25" t="s">
        <v>45</v>
      </c>
      <c r="H50" s="25" t="s">
        <v>245</v>
      </c>
      <c r="I50" s="26" t="s">
        <v>246</v>
      </c>
      <c r="J50" s="25" t="s">
        <v>152</v>
      </c>
      <c r="K50" s="25" t="s">
        <v>49</v>
      </c>
      <c r="L50" s="25" t="s">
        <v>50</v>
      </c>
      <c r="M50" s="25" t="s">
        <v>51</v>
      </c>
      <c r="N50" s="25" t="s">
        <v>51</v>
      </c>
      <c r="O50" s="25" t="s">
        <v>52</v>
      </c>
      <c r="P50" s="21" t="s">
        <v>53</v>
      </c>
      <c r="Q50" s="22">
        <v>0.04097222222222222</v>
      </c>
      <c r="R50" s="13">
        <v>0.027777777777777776</v>
      </c>
      <c r="S50" s="13">
        <f t="shared" si="10"/>
        <v>0.06875</v>
      </c>
      <c r="T50" s="14"/>
      <c r="U50" s="14"/>
      <c r="V50" s="13">
        <f t="shared" si="1"/>
        <v>0.06875</v>
      </c>
      <c r="W50" s="19" t="s">
        <v>56</v>
      </c>
      <c r="X50" s="20" t="s">
        <v>57</v>
      </c>
      <c r="Y50" s="25" t="s">
        <v>248</v>
      </c>
      <c r="Z50" s="14"/>
      <c r="AA50" s="27"/>
      <c r="AB50" s="26" t="s">
        <v>45</v>
      </c>
      <c r="AC50" s="28"/>
      <c r="AD50" s="25" t="s">
        <v>98</v>
      </c>
      <c r="AE50" s="25" t="s">
        <v>190</v>
      </c>
      <c r="AF50" s="25" t="s">
        <v>63</v>
      </c>
      <c r="AG50" s="25" t="s">
        <v>247</v>
      </c>
      <c r="AH50" s="14"/>
      <c r="AI50" s="14"/>
      <c r="AJ50" s="14"/>
      <c r="AK50" s="14"/>
      <c r="AL50" s="14"/>
      <c r="AM50" s="14"/>
    </row>
    <row r="51" ht="39.0" customHeight="1">
      <c r="A51" s="25" t="s">
        <v>249</v>
      </c>
      <c r="B51" s="14"/>
      <c r="C51" s="25" t="s">
        <v>250</v>
      </c>
      <c r="D51" s="25" t="s">
        <v>251</v>
      </c>
      <c r="E51" s="25" t="s">
        <v>43</v>
      </c>
      <c r="F51" s="25" t="s">
        <v>252</v>
      </c>
      <c r="G51" s="25" t="s">
        <v>45</v>
      </c>
      <c r="H51" s="25" t="s">
        <v>253</v>
      </c>
      <c r="I51" s="26" t="s">
        <v>254</v>
      </c>
      <c r="J51" s="25" t="s">
        <v>152</v>
      </c>
      <c r="K51" s="25" t="s">
        <v>49</v>
      </c>
      <c r="L51" s="25" t="s">
        <v>50</v>
      </c>
      <c r="M51" s="25" t="s">
        <v>51</v>
      </c>
      <c r="N51" s="25" t="s">
        <v>51</v>
      </c>
      <c r="O51" s="25" t="s">
        <v>172</v>
      </c>
      <c r="P51" s="21" t="s">
        <v>53</v>
      </c>
      <c r="Q51" s="22">
        <v>0.04097222222222222</v>
      </c>
      <c r="R51" s="13">
        <v>0.027777777777777776</v>
      </c>
      <c r="S51" s="15">
        <f>Q51+R51</f>
        <v>0.06875</v>
      </c>
      <c r="T51" s="25" t="s">
        <v>118</v>
      </c>
      <c r="U51" s="25" t="s">
        <v>72</v>
      </c>
      <c r="V51" s="13">
        <f t="shared" si="1"/>
        <v>0.06875</v>
      </c>
      <c r="W51" s="19" t="s">
        <v>56</v>
      </c>
      <c r="X51" s="20" t="s">
        <v>57</v>
      </c>
      <c r="Y51" s="25" t="s">
        <v>248</v>
      </c>
      <c r="Z51" s="14"/>
      <c r="AA51" s="27"/>
      <c r="AB51" s="26" t="s">
        <v>45</v>
      </c>
      <c r="AC51" s="28"/>
      <c r="AD51" s="25" t="s">
        <v>63</v>
      </c>
      <c r="AE51" s="25" t="s">
        <v>181</v>
      </c>
      <c r="AF51" s="14"/>
      <c r="AG51" s="14"/>
      <c r="AH51" s="14"/>
      <c r="AI51" s="14"/>
      <c r="AJ51" s="14"/>
      <c r="AK51" s="14"/>
      <c r="AL51" s="14"/>
      <c r="AM51" s="14"/>
    </row>
    <row r="52" ht="39.0" customHeight="1">
      <c r="A52" s="19" t="s">
        <v>249</v>
      </c>
      <c r="B52" s="12"/>
      <c r="C52" s="19" t="s">
        <v>250</v>
      </c>
      <c r="D52" s="19" t="s">
        <v>251</v>
      </c>
      <c r="E52" s="19" t="s">
        <v>43</v>
      </c>
      <c r="F52" s="19" t="s">
        <v>252</v>
      </c>
      <c r="G52" s="19" t="s">
        <v>45</v>
      </c>
      <c r="H52" s="19" t="s">
        <v>253</v>
      </c>
      <c r="I52" s="20" t="s">
        <v>254</v>
      </c>
      <c r="J52" s="19" t="s">
        <v>152</v>
      </c>
      <c r="K52" s="19" t="s">
        <v>49</v>
      </c>
      <c r="L52" s="19" t="s">
        <v>50</v>
      </c>
      <c r="M52" s="19" t="s">
        <v>51</v>
      </c>
      <c r="N52" s="19" t="s">
        <v>51</v>
      </c>
      <c r="O52" s="19" t="s">
        <v>172</v>
      </c>
      <c r="P52" s="21" t="s">
        <v>53</v>
      </c>
      <c r="Q52" s="22">
        <v>0.04097222222222222</v>
      </c>
      <c r="R52" s="13">
        <v>0.027777777777777776</v>
      </c>
      <c r="S52" s="13">
        <f>TIMEVALUE(Q52+R52)</f>
        <v>0.06875</v>
      </c>
      <c r="T52" s="12"/>
      <c r="U52" s="12"/>
      <c r="V52" s="13">
        <f t="shared" si="1"/>
        <v>0.06875</v>
      </c>
      <c r="W52" s="19" t="s">
        <v>56</v>
      </c>
      <c r="X52" s="20" t="s">
        <v>57</v>
      </c>
      <c r="Y52" s="25" t="s">
        <v>248</v>
      </c>
      <c r="Z52" s="12"/>
      <c r="AA52" s="23"/>
      <c r="AB52" s="20" t="s">
        <v>45</v>
      </c>
      <c r="AC52" s="24"/>
      <c r="AD52" s="19" t="s">
        <v>63</v>
      </c>
      <c r="AE52" s="19" t="s">
        <v>181</v>
      </c>
      <c r="AF52" s="12"/>
      <c r="AG52" s="12"/>
      <c r="AH52" s="12"/>
      <c r="AI52" s="12"/>
      <c r="AJ52" s="12"/>
      <c r="AK52" s="12"/>
      <c r="AL52" s="12"/>
      <c r="AM52" s="12"/>
    </row>
    <row r="53" ht="39.0" customHeight="1">
      <c r="A53" s="25" t="s">
        <v>255</v>
      </c>
      <c r="B53" s="14"/>
      <c r="C53" s="25" t="s">
        <v>256</v>
      </c>
      <c r="D53" s="25" t="s">
        <v>257</v>
      </c>
      <c r="E53" s="25" t="s">
        <v>43</v>
      </c>
      <c r="F53" s="25" t="s">
        <v>258</v>
      </c>
      <c r="G53" s="25" t="s">
        <v>45</v>
      </c>
      <c r="H53" s="25" t="s">
        <v>259</v>
      </c>
      <c r="I53" s="26" t="s">
        <v>260</v>
      </c>
      <c r="J53" s="25" t="s">
        <v>152</v>
      </c>
      <c r="K53" s="25" t="s">
        <v>49</v>
      </c>
      <c r="L53" s="25" t="s">
        <v>50</v>
      </c>
      <c r="M53" s="25" t="s">
        <v>51</v>
      </c>
      <c r="N53" s="25" t="s">
        <v>51</v>
      </c>
      <c r="O53" s="25" t="s">
        <v>52</v>
      </c>
      <c r="P53" s="21" t="s">
        <v>53</v>
      </c>
      <c r="Q53" s="22">
        <v>0.04097222222222222</v>
      </c>
      <c r="R53" s="13">
        <v>0.027777777777777776</v>
      </c>
      <c r="S53" s="15">
        <f>Q53+R53</f>
        <v>0.06875</v>
      </c>
      <c r="T53" s="25" t="s">
        <v>261</v>
      </c>
      <c r="U53" s="25" t="s">
        <v>55</v>
      </c>
      <c r="V53" s="13">
        <f t="shared" si="1"/>
        <v>0.06875</v>
      </c>
      <c r="W53" s="19" t="s">
        <v>56</v>
      </c>
      <c r="X53" s="20" t="s">
        <v>57</v>
      </c>
      <c r="Y53" s="25" t="s">
        <v>248</v>
      </c>
      <c r="Z53" s="14"/>
      <c r="AA53" s="27"/>
      <c r="AB53" s="26" t="s">
        <v>45</v>
      </c>
      <c r="AC53" s="28"/>
      <c r="AD53" s="25" t="s">
        <v>190</v>
      </c>
      <c r="AE53" s="25" t="s">
        <v>63</v>
      </c>
      <c r="AF53" s="25" t="s">
        <v>262</v>
      </c>
      <c r="AG53" s="25" t="s">
        <v>181</v>
      </c>
      <c r="AH53" s="14"/>
      <c r="AI53" s="14"/>
      <c r="AJ53" s="14"/>
      <c r="AK53" s="14"/>
      <c r="AL53" s="14"/>
      <c r="AM53" s="14"/>
    </row>
    <row r="54" ht="39.0" customHeight="1">
      <c r="A54" s="19" t="s">
        <v>255</v>
      </c>
      <c r="B54" s="12"/>
      <c r="C54" s="19" t="s">
        <v>256</v>
      </c>
      <c r="D54" s="19" t="s">
        <v>257</v>
      </c>
      <c r="E54" s="19" t="s">
        <v>43</v>
      </c>
      <c r="F54" s="19" t="s">
        <v>258</v>
      </c>
      <c r="G54" s="19" t="s">
        <v>45</v>
      </c>
      <c r="H54" s="19" t="s">
        <v>259</v>
      </c>
      <c r="I54" s="20" t="s">
        <v>260</v>
      </c>
      <c r="J54" s="19" t="s">
        <v>152</v>
      </c>
      <c r="K54" s="19" t="s">
        <v>49</v>
      </c>
      <c r="L54" s="19" t="s">
        <v>50</v>
      </c>
      <c r="M54" s="19" t="s">
        <v>51</v>
      </c>
      <c r="N54" s="19" t="s">
        <v>51</v>
      </c>
      <c r="O54" s="19" t="s">
        <v>52</v>
      </c>
      <c r="P54" s="21" t="s">
        <v>53</v>
      </c>
      <c r="Q54" s="22">
        <v>0.04097222222222222</v>
      </c>
      <c r="R54" s="13">
        <v>0.027777777777777776</v>
      </c>
      <c r="S54" s="13">
        <f t="shared" ref="S54:S55" si="11">TIMEVALUE(Q54+R54)</f>
        <v>0.06875</v>
      </c>
      <c r="T54" s="12"/>
      <c r="U54" s="12"/>
      <c r="V54" s="13">
        <f t="shared" si="1"/>
        <v>0.06875</v>
      </c>
      <c r="W54" s="19" t="s">
        <v>56</v>
      </c>
      <c r="X54" s="20" t="s">
        <v>57</v>
      </c>
      <c r="Y54" s="25" t="s">
        <v>248</v>
      </c>
      <c r="Z54" s="12"/>
      <c r="AA54" s="23"/>
      <c r="AB54" s="20" t="s">
        <v>45</v>
      </c>
      <c r="AC54" s="24"/>
      <c r="AD54" s="19" t="s">
        <v>190</v>
      </c>
      <c r="AE54" s="19" t="s">
        <v>63</v>
      </c>
      <c r="AF54" s="19" t="s">
        <v>262</v>
      </c>
      <c r="AG54" s="19" t="s">
        <v>181</v>
      </c>
      <c r="AH54" s="12"/>
      <c r="AI54" s="12"/>
      <c r="AJ54" s="12"/>
      <c r="AK54" s="12"/>
      <c r="AL54" s="12"/>
      <c r="AM54" s="12"/>
    </row>
    <row r="55" ht="39.0" customHeight="1">
      <c r="A55" s="25" t="s">
        <v>263</v>
      </c>
      <c r="B55" s="14"/>
      <c r="C55" s="25" t="s">
        <v>264</v>
      </c>
      <c r="D55" s="25" t="s">
        <v>265</v>
      </c>
      <c r="E55" s="25" t="s">
        <v>43</v>
      </c>
      <c r="F55" s="25" t="s">
        <v>266</v>
      </c>
      <c r="G55" s="25" t="s">
        <v>186</v>
      </c>
      <c r="H55" s="25" t="s">
        <v>267</v>
      </c>
      <c r="I55" s="26" t="s">
        <v>268</v>
      </c>
      <c r="J55" s="25" t="s">
        <v>269</v>
      </c>
      <c r="K55" s="25" t="s">
        <v>49</v>
      </c>
      <c r="L55" s="25" t="s">
        <v>50</v>
      </c>
      <c r="M55" s="25" t="s">
        <v>51</v>
      </c>
      <c r="N55" s="25" t="s">
        <v>51</v>
      </c>
      <c r="O55" s="25" t="s">
        <v>172</v>
      </c>
      <c r="P55" s="21" t="s">
        <v>53</v>
      </c>
      <c r="Q55" s="22">
        <v>0.04097222222222222</v>
      </c>
      <c r="R55" s="13">
        <v>0.0</v>
      </c>
      <c r="S55" s="13">
        <f t="shared" si="11"/>
        <v>0.04097222222</v>
      </c>
      <c r="T55" s="25" t="s">
        <v>54</v>
      </c>
      <c r="U55" s="25" t="s">
        <v>72</v>
      </c>
      <c r="V55" s="13">
        <f t="shared" si="1"/>
        <v>0.04097222222</v>
      </c>
      <c r="W55" s="19" t="s">
        <v>56</v>
      </c>
      <c r="X55" s="20" t="s">
        <v>57</v>
      </c>
      <c r="Y55" s="25" t="s">
        <v>248</v>
      </c>
      <c r="Z55" s="14"/>
      <c r="AA55" s="27"/>
      <c r="AB55" s="26" t="s">
        <v>45</v>
      </c>
      <c r="AC55" s="26" t="s">
        <v>270</v>
      </c>
      <c r="AD55" s="25" t="s">
        <v>179</v>
      </c>
      <c r="AE55" s="25" t="s">
        <v>241</v>
      </c>
      <c r="AF55" s="25" t="s">
        <v>98</v>
      </c>
      <c r="AG55" s="25" t="s">
        <v>190</v>
      </c>
      <c r="AH55" s="25" t="s">
        <v>63</v>
      </c>
      <c r="AI55" s="25" t="s">
        <v>181</v>
      </c>
      <c r="AJ55" s="25" t="s">
        <v>157</v>
      </c>
      <c r="AK55" s="14"/>
      <c r="AL55" s="14"/>
      <c r="AM55" s="14"/>
    </row>
    <row r="56" ht="39.0" customHeight="1">
      <c r="A56" s="19" t="s">
        <v>271</v>
      </c>
      <c r="B56" s="12"/>
      <c r="C56" s="19" t="s">
        <v>272</v>
      </c>
      <c r="D56" s="19" t="s">
        <v>273</v>
      </c>
      <c r="E56" s="19" t="s">
        <v>43</v>
      </c>
      <c r="F56" s="19" t="s">
        <v>274</v>
      </c>
      <c r="G56" s="19" t="s">
        <v>45</v>
      </c>
      <c r="H56" s="19" t="s">
        <v>275</v>
      </c>
      <c r="I56" s="24"/>
      <c r="J56" s="19" t="s">
        <v>269</v>
      </c>
      <c r="K56" s="19" t="s">
        <v>49</v>
      </c>
      <c r="L56" s="19" t="s">
        <v>50</v>
      </c>
      <c r="M56" s="19" t="s">
        <v>51</v>
      </c>
      <c r="N56" s="19" t="s">
        <v>51</v>
      </c>
      <c r="O56" s="19" t="s">
        <v>276</v>
      </c>
      <c r="P56" s="21" t="s">
        <v>53</v>
      </c>
      <c r="Q56" s="22">
        <v>0.04097222222222222</v>
      </c>
      <c r="R56" s="13">
        <v>0.0</v>
      </c>
      <c r="S56" s="15">
        <f>Q56+R56</f>
        <v>0.04097222222</v>
      </c>
      <c r="T56" s="19" t="s">
        <v>54</v>
      </c>
      <c r="U56" s="12"/>
      <c r="V56" s="13">
        <f t="shared" si="1"/>
        <v>0.04097222222</v>
      </c>
      <c r="W56" s="19" t="s">
        <v>56</v>
      </c>
      <c r="X56" s="20" t="s">
        <v>57</v>
      </c>
      <c r="Y56" s="25" t="s">
        <v>248</v>
      </c>
      <c r="Z56" s="12"/>
      <c r="AA56" s="18"/>
      <c r="AB56" s="20" t="s">
        <v>45</v>
      </c>
      <c r="AC56" s="24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ht="39.0" customHeight="1">
      <c r="A57" s="25" t="s">
        <v>277</v>
      </c>
      <c r="B57" s="14"/>
      <c r="C57" s="25" t="s">
        <v>146</v>
      </c>
      <c r="D57" s="25" t="s">
        <v>278</v>
      </c>
      <c r="E57" s="25" t="s">
        <v>43</v>
      </c>
      <c r="F57" s="25" t="s">
        <v>279</v>
      </c>
      <c r="G57" s="25" t="s">
        <v>45</v>
      </c>
      <c r="H57" s="25" t="s">
        <v>280</v>
      </c>
      <c r="I57" s="26" t="s">
        <v>281</v>
      </c>
      <c r="J57" s="25" t="s">
        <v>282</v>
      </c>
      <c r="K57" s="25" t="s">
        <v>49</v>
      </c>
      <c r="L57" s="25" t="s">
        <v>50</v>
      </c>
      <c r="M57" s="25" t="s">
        <v>283</v>
      </c>
      <c r="N57" s="25" t="s">
        <v>283</v>
      </c>
      <c r="O57" s="25" t="s">
        <v>284</v>
      </c>
      <c r="P57" s="21" t="s">
        <v>53</v>
      </c>
      <c r="Q57" s="22">
        <v>0.02361111111111111</v>
      </c>
      <c r="R57" s="13">
        <v>0.0</v>
      </c>
      <c r="S57" s="13">
        <f>TIMEVALUE(Q57+R57)</f>
        <v>0.02361111111</v>
      </c>
      <c r="T57" s="14"/>
      <c r="U57" s="14"/>
      <c r="V57" s="13">
        <f t="shared" si="1"/>
        <v>0.02361111111</v>
      </c>
      <c r="W57" s="19" t="s">
        <v>56</v>
      </c>
      <c r="X57" s="20" t="s">
        <v>57</v>
      </c>
      <c r="Y57" s="25" t="s">
        <v>248</v>
      </c>
      <c r="Z57" s="14"/>
      <c r="AA57" s="27"/>
      <c r="AB57" s="26" t="s">
        <v>285</v>
      </c>
      <c r="AC57" s="28"/>
      <c r="AD57" s="25" t="s">
        <v>63</v>
      </c>
      <c r="AE57" s="25" t="s">
        <v>286</v>
      </c>
      <c r="AF57" s="14"/>
      <c r="AG57" s="14"/>
      <c r="AH57" s="14"/>
      <c r="AI57" s="14"/>
      <c r="AJ57" s="14"/>
      <c r="AK57" s="14"/>
      <c r="AL57" s="14"/>
      <c r="AM57" s="14"/>
    </row>
    <row r="58" ht="39.0" customHeight="1">
      <c r="A58" s="19" t="s">
        <v>287</v>
      </c>
      <c r="B58" s="12"/>
      <c r="C58" s="19" t="s">
        <v>288</v>
      </c>
      <c r="D58" s="19" t="s">
        <v>289</v>
      </c>
      <c r="E58" s="19" t="s">
        <v>43</v>
      </c>
      <c r="F58" s="19" t="s">
        <v>290</v>
      </c>
      <c r="G58" s="19" t="s">
        <v>45</v>
      </c>
      <c r="H58" s="19" t="s">
        <v>291</v>
      </c>
      <c r="I58" s="20" t="s">
        <v>292</v>
      </c>
      <c r="J58" s="19" t="s">
        <v>282</v>
      </c>
      <c r="K58" s="19" t="s">
        <v>49</v>
      </c>
      <c r="L58" s="19" t="s">
        <v>50</v>
      </c>
      <c r="M58" s="19" t="s">
        <v>51</v>
      </c>
      <c r="N58" s="19" t="s">
        <v>51</v>
      </c>
      <c r="O58" s="19" t="s">
        <v>293</v>
      </c>
      <c r="P58" s="21" t="s">
        <v>53</v>
      </c>
      <c r="Q58" s="22">
        <v>0.02361111111111111</v>
      </c>
      <c r="R58" s="13">
        <v>0.0</v>
      </c>
      <c r="S58" s="15">
        <f>Q58+R58</f>
        <v>0.02361111111</v>
      </c>
      <c r="T58" s="19" t="s">
        <v>54</v>
      </c>
      <c r="U58" s="19" t="s">
        <v>55</v>
      </c>
      <c r="V58" s="13">
        <f t="shared" si="1"/>
        <v>0.02361111111</v>
      </c>
      <c r="W58" s="19" t="s">
        <v>56</v>
      </c>
      <c r="X58" s="20" t="s">
        <v>57</v>
      </c>
      <c r="Y58" s="25" t="s">
        <v>248</v>
      </c>
      <c r="Z58" s="12"/>
      <c r="AA58" s="23"/>
      <c r="AB58" s="20" t="s">
        <v>45</v>
      </c>
      <c r="AC58" s="24"/>
      <c r="AD58" s="19" t="s">
        <v>294</v>
      </c>
      <c r="AE58" s="19" t="s">
        <v>63</v>
      </c>
      <c r="AF58" s="19" t="s">
        <v>295</v>
      </c>
      <c r="AG58" s="19" t="s">
        <v>296</v>
      </c>
      <c r="AH58" s="12"/>
      <c r="AI58" s="12"/>
      <c r="AJ58" s="12"/>
      <c r="AK58" s="12"/>
      <c r="AL58" s="12"/>
      <c r="AM58" s="12"/>
    </row>
    <row r="59" ht="52.5" customHeight="1">
      <c r="A59" s="25" t="s">
        <v>287</v>
      </c>
      <c r="B59" s="14"/>
      <c r="C59" s="25" t="s">
        <v>288</v>
      </c>
      <c r="D59" s="25" t="s">
        <v>289</v>
      </c>
      <c r="E59" s="25" t="s">
        <v>43</v>
      </c>
      <c r="F59" s="25" t="s">
        <v>290</v>
      </c>
      <c r="G59" s="25" t="s">
        <v>45</v>
      </c>
      <c r="H59" s="25" t="s">
        <v>291</v>
      </c>
      <c r="I59" s="26" t="s">
        <v>292</v>
      </c>
      <c r="J59" s="25" t="s">
        <v>282</v>
      </c>
      <c r="K59" s="25" t="s">
        <v>49</v>
      </c>
      <c r="L59" s="25" t="s">
        <v>50</v>
      </c>
      <c r="M59" s="25" t="s">
        <v>51</v>
      </c>
      <c r="N59" s="25" t="s">
        <v>51</v>
      </c>
      <c r="O59" s="25" t="s">
        <v>293</v>
      </c>
      <c r="P59" s="21" t="s">
        <v>53</v>
      </c>
      <c r="Q59" s="22">
        <v>0.02361111111111111</v>
      </c>
      <c r="R59" s="13">
        <v>0.0</v>
      </c>
      <c r="S59" s="13">
        <f t="shared" ref="S59:S60" si="12">TIMEVALUE(Q59+R59)</f>
        <v>0.02361111111</v>
      </c>
      <c r="T59" s="25" t="s">
        <v>54</v>
      </c>
      <c r="U59" s="14"/>
      <c r="V59" s="13">
        <f t="shared" si="1"/>
        <v>0.02361111111</v>
      </c>
      <c r="W59" s="19" t="s">
        <v>56</v>
      </c>
      <c r="X59" s="20" t="s">
        <v>57</v>
      </c>
      <c r="Y59" s="25" t="s">
        <v>248</v>
      </c>
      <c r="Z59" s="14"/>
      <c r="AA59" s="27"/>
      <c r="AB59" s="26" t="s">
        <v>45</v>
      </c>
      <c r="AC59" s="28"/>
      <c r="AD59" s="25" t="s">
        <v>294</v>
      </c>
      <c r="AE59" s="25" t="s">
        <v>63</v>
      </c>
      <c r="AF59" s="25" t="s">
        <v>295</v>
      </c>
      <c r="AG59" s="25" t="s">
        <v>296</v>
      </c>
      <c r="AH59" s="14"/>
      <c r="AI59" s="14"/>
      <c r="AJ59" s="14"/>
      <c r="AK59" s="14"/>
      <c r="AL59" s="14"/>
      <c r="AM59" s="14"/>
    </row>
    <row r="60" ht="52.5" customHeight="1">
      <c r="A60" s="25" t="s">
        <v>297</v>
      </c>
      <c r="B60" s="25" t="s">
        <v>298</v>
      </c>
      <c r="C60" s="25" t="s">
        <v>299</v>
      </c>
      <c r="D60" s="25" t="s">
        <v>300</v>
      </c>
      <c r="E60" s="25" t="s">
        <v>43</v>
      </c>
      <c r="F60" s="25" t="s">
        <v>301</v>
      </c>
      <c r="G60" s="25" t="s">
        <v>45</v>
      </c>
      <c r="H60" s="25" t="s">
        <v>302</v>
      </c>
      <c r="I60" s="26" t="s">
        <v>303</v>
      </c>
      <c r="J60" s="25" t="s">
        <v>282</v>
      </c>
      <c r="K60" s="25" t="s">
        <v>49</v>
      </c>
      <c r="L60" s="25" t="s">
        <v>50</v>
      </c>
      <c r="M60" s="25" t="s">
        <v>51</v>
      </c>
      <c r="N60" s="25" t="s">
        <v>51</v>
      </c>
      <c r="O60" s="25" t="s">
        <v>293</v>
      </c>
      <c r="P60" s="21" t="s">
        <v>53</v>
      </c>
      <c r="Q60" s="22">
        <v>0.02361111111111111</v>
      </c>
      <c r="R60" s="13">
        <v>0.0</v>
      </c>
      <c r="S60" s="13">
        <f t="shared" si="12"/>
        <v>0.02361111111</v>
      </c>
      <c r="T60" s="25" t="s">
        <v>54</v>
      </c>
      <c r="U60" s="25" t="s">
        <v>55</v>
      </c>
      <c r="V60" s="13">
        <f t="shared" si="1"/>
        <v>0.02361111111</v>
      </c>
      <c r="W60" s="19" t="s">
        <v>56</v>
      </c>
      <c r="X60" s="20" t="s">
        <v>57</v>
      </c>
      <c r="Y60" s="25" t="s">
        <v>248</v>
      </c>
      <c r="Z60" s="14"/>
      <c r="AA60" s="27"/>
      <c r="AB60" s="26" t="s">
        <v>45</v>
      </c>
      <c r="AC60" s="28"/>
      <c r="AD60" s="25" t="s">
        <v>304</v>
      </c>
      <c r="AE60" s="25" t="s">
        <v>61</v>
      </c>
      <c r="AF60" s="25" t="s">
        <v>63</v>
      </c>
      <c r="AG60" s="25" t="s">
        <v>305</v>
      </c>
      <c r="AH60" s="25" t="s">
        <v>130</v>
      </c>
      <c r="AI60" s="14"/>
      <c r="AJ60" s="14"/>
      <c r="AK60" s="14"/>
      <c r="AL60" s="14"/>
      <c r="AM60" s="14"/>
    </row>
    <row r="61" ht="52.5" customHeight="1">
      <c r="A61" s="19" t="s">
        <v>297</v>
      </c>
      <c r="B61" s="19" t="s">
        <v>298</v>
      </c>
      <c r="C61" s="19" t="s">
        <v>299</v>
      </c>
      <c r="D61" s="19" t="s">
        <v>300</v>
      </c>
      <c r="E61" s="19" t="s">
        <v>43</v>
      </c>
      <c r="F61" s="19" t="s">
        <v>301</v>
      </c>
      <c r="G61" s="19" t="s">
        <v>45</v>
      </c>
      <c r="H61" s="19" t="s">
        <v>302</v>
      </c>
      <c r="I61" s="20" t="s">
        <v>303</v>
      </c>
      <c r="J61" s="19" t="s">
        <v>282</v>
      </c>
      <c r="K61" s="19" t="s">
        <v>49</v>
      </c>
      <c r="L61" s="19" t="s">
        <v>50</v>
      </c>
      <c r="M61" s="19" t="s">
        <v>51</v>
      </c>
      <c r="N61" s="19" t="s">
        <v>51</v>
      </c>
      <c r="O61" s="19" t="s">
        <v>293</v>
      </c>
      <c r="P61" s="21" t="s">
        <v>53</v>
      </c>
      <c r="Q61" s="22">
        <v>0.02361111111111111</v>
      </c>
      <c r="R61" s="13">
        <v>0.0</v>
      </c>
      <c r="S61" s="15">
        <f>Q61+R61</f>
        <v>0.02361111111</v>
      </c>
      <c r="T61" s="19" t="s">
        <v>54</v>
      </c>
      <c r="U61" s="19" t="s">
        <v>158</v>
      </c>
      <c r="V61" s="13">
        <f t="shared" si="1"/>
        <v>0.02361111111</v>
      </c>
      <c r="W61" s="19" t="s">
        <v>56</v>
      </c>
      <c r="X61" s="20" t="s">
        <v>57</v>
      </c>
      <c r="Y61" s="25" t="s">
        <v>248</v>
      </c>
      <c r="Z61" s="12"/>
      <c r="AA61" s="23"/>
      <c r="AB61" s="20" t="s">
        <v>45</v>
      </c>
      <c r="AC61" s="24"/>
      <c r="AD61" s="19" t="s">
        <v>304</v>
      </c>
      <c r="AE61" s="19" t="s">
        <v>61</v>
      </c>
      <c r="AF61" s="19" t="s">
        <v>63</v>
      </c>
      <c r="AG61" s="19" t="s">
        <v>305</v>
      </c>
      <c r="AH61" s="19" t="s">
        <v>130</v>
      </c>
      <c r="AI61" s="12"/>
      <c r="AJ61" s="12"/>
      <c r="AK61" s="12"/>
      <c r="AL61" s="12"/>
      <c r="AM61" s="12"/>
    </row>
    <row r="62" ht="52.5" customHeight="1">
      <c r="A62" s="25" t="s">
        <v>297</v>
      </c>
      <c r="B62" s="25" t="s">
        <v>298</v>
      </c>
      <c r="C62" s="25" t="s">
        <v>299</v>
      </c>
      <c r="D62" s="25" t="s">
        <v>300</v>
      </c>
      <c r="E62" s="25" t="s">
        <v>43</v>
      </c>
      <c r="F62" s="25" t="s">
        <v>301</v>
      </c>
      <c r="G62" s="25" t="s">
        <v>45</v>
      </c>
      <c r="H62" s="25" t="s">
        <v>302</v>
      </c>
      <c r="I62" s="26" t="s">
        <v>303</v>
      </c>
      <c r="J62" s="25" t="s">
        <v>282</v>
      </c>
      <c r="K62" s="25" t="s">
        <v>49</v>
      </c>
      <c r="L62" s="25" t="s">
        <v>50</v>
      </c>
      <c r="M62" s="25" t="s">
        <v>51</v>
      </c>
      <c r="N62" s="25" t="s">
        <v>51</v>
      </c>
      <c r="O62" s="25" t="s">
        <v>293</v>
      </c>
      <c r="P62" s="21" t="s">
        <v>53</v>
      </c>
      <c r="Q62" s="22">
        <v>0.02361111111111111</v>
      </c>
      <c r="R62" s="13">
        <v>0.0</v>
      </c>
      <c r="S62" s="13">
        <f>TIMEVALUE(Q62+R62)</f>
        <v>0.02361111111</v>
      </c>
      <c r="T62" s="25" t="s">
        <v>54</v>
      </c>
      <c r="U62" s="25" t="s">
        <v>158</v>
      </c>
      <c r="V62" s="13">
        <f t="shared" si="1"/>
        <v>0.02361111111</v>
      </c>
      <c r="W62" s="19" t="s">
        <v>56</v>
      </c>
      <c r="X62" s="20" t="s">
        <v>57</v>
      </c>
      <c r="Y62" s="25" t="s">
        <v>248</v>
      </c>
      <c r="Z62" s="14"/>
      <c r="AA62" s="27"/>
      <c r="AB62" s="26" t="s">
        <v>45</v>
      </c>
      <c r="AC62" s="28"/>
      <c r="AD62" s="25" t="s">
        <v>304</v>
      </c>
      <c r="AE62" s="25" t="s">
        <v>61</v>
      </c>
      <c r="AF62" s="25" t="s">
        <v>63</v>
      </c>
      <c r="AG62" s="25" t="s">
        <v>305</v>
      </c>
      <c r="AH62" s="25" t="s">
        <v>130</v>
      </c>
      <c r="AI62" s="14"/>
      <c r="AJ62" s="14"/>
      <c r="AK62" s="14"/>
      <c r="AL62" s="14"/>
      <c r="AM62" s="14"/>
    </row>
    <row r="63" ht="39.0" customHeight="1">
      <c r="A63" s="19" t="s">
        <v>297</v>
      </c>
      <c r="B63" s="19" t="s">
        <v>298</v>
      </c>
      <c r="C63" s="19" t="s">
        <v>299</v>
      </c>
      <c r="D63" s="19" t="s">
        <v>300</v>
      </c>
      <c r="E63" s="19" t="s">
        <v>43</v>
      </c>
      <c r="F63" s="19" t="s">
        <v>301</v>
      </c>
      <c r="G63" s="19" t="s">
        <v>45</v>
      </c>
      <c r="H63" s="19" t="s">
        <v>302</v>
      </c>
      <c r="I63" s="20" t="s">
        <v>303</v>
      </c>
      <c r="J63" s="19" t="s">
        <v>282</v>
      </c>
      <c r="K63" s="19" t="s">
        <v>49</v>
      </c>
      <c r="L63" s="19" t="s">
        <v>50</v>
      </c>
      <c r="M63" s="19" t="s">
        <v>51</v>
      </c>
      <c r="N63" s="19" t="s">
        <v>51</v>
      </c>
      <c r="O63" s="19" t="s">
        <v>293</v>
      </c>
      <c r="P63" s="21" t="s">
        <v>53</v>
      </c>
      <c r="Q63" s="22">
        <v>0.02361111111111111</v>
      </c>
      <c r="R63" s="13">
        <v>0.0</v>
      </c>
      <c r="S63" s="15">
        <f>Q63+R63</f>
        <v>0.02361111111</v>
      </c>
      <c r="T63" s="19" t="s">
        <v>54</v>
      </c>
      <c r="U63" s="12"/>
      <c r="V63" s="13">
        <f t="shared" si="1"/>
        <v>0.02361111111</v>
      </c>
      <c r="W63" s="19" t="s">
        <v>56</v>
      </c>
      <c r="X63" s="20" t="s">
        <v>57</v>
      </c>
      <c r="Y63" s="25" t="s">
        <v>248</v>
      </c>
      <c r="Z63" s="12"/>
      <c r="AA63" s="23"/>
      <c r="AB63" s="20" t="s">
        <v>45</v>
      </c>
      <c r="AC63" s="24"/>
      <c r="AD63" s="19" t="s">
        <v>304</v>
      </c>
      <c r="AE63" s="19" t="s">
        <v>61</v>
      </c>
      <c r="AF63" s="19" t="s">
        <v>63</v>
      </c>
      <c r="AG63" s="19" t="s">
        <v>305</v>
      </c>
      <c r="AH63" s="19" t="s">
        <v>130</v>
      </c>
      <c r="AI63" s="12"/>
      <c r="AJ63" s="12"/>
      <c r="AK63" s="12"/>
      <c r="AL63" s="12"/>
      <c r="AM63" s="12"/>
    </row>
    <row r="64" ht="39.0" customHeight="1">
      <c r="A64" s="19" t="s">
        <v>306</v>
      </c>
      <c r="B64" s="12"/>
      <c r="C64" s="19" t="s">
        <v>307</v>
      </c>
      <c r="D64" s="19" t="s">
        <v>308</v>
      </c>
      <c r="E64" s="19" t="s">
        <v>43</v>
      </c>
      <c r="F64" s="19" t="s">
        <v>309</v>
      </c>
      <c r="G64" s="19" t="s">
        <v>45</v>
      </c>
      <c r="H64" s="19" t="s">
        <v>310</v>
      </c>
      <c r="I64" s="20" t="s">
        <v>311</v>
      </c>
      <c r="J64" s="19" t="s">
        <v>282</v>
      </c>
      <c r="K64" s="19" t="s">
        <v>49</v>
      </c>
      <c r="L64" s="19" t="s">
        <v>50</v>
      </c>
      <c r="M64" s="19" t="s">
        <v>51</v>
      </c>
      <c r="N64" s="19" t="s">
        <v>51</v>
      </c>
      <c r="O64" s="19" t="s">
        <v>172</v>
      </c>
      <c r="P64" s="21" t="s">
        <v>53</v>
      </c>
      <c r="Q64" s="22">
        <v>0.02361111111111111</v>
      </c>
      <c r="R64" s="13">
        <v>0.0</v>
      </c>
      <c r="S64" s="13">
        <f t="shared" ref="S64:S65" si="13">TIMEVALUE(Q64+R64)</f>
        <v>0.02361111111</v>
      </c>
      <c r="T64" s="19" t="s">
        <v>54</v>
      </c>
      <c r="U64" s="19" t="s">
        <v>72</v>
      </c>
      <c r="V64" s="13">
        <f t="shared" si="1"/>
        <v>0.02361111111</v>
      </c>
      <c r="W64" s="19" t="s">
        <v>56</v>
      </c>
      <c r="X64" s="20" t="s">
        <v>57</v>
      </c>
      <c r="Y64" s="25" t="s">
        <v>248</v>
      </c>
      <c r="Z64" s="12"/>
      <c r="AA64" s="23"/>
      <c r="AB64" s="20" t="s">
        <v>45</v>
      </c>
      <c r="AC64" s="24"/>
      <c r="AD64" s="19" t="s">
        <v>240</v>
      </c>
      <c r="AE64" s="19" t="s">
        <v>155</v>
      </c>
      <c r="AF64" s="19" t="s">
        <v>312</v>
      </c>
      <c r="AG64" s="19" t="s">
        <v>63</v>
      </c>
      <c r="AH64" s="12"/>
      <c r="AI64" s="12"/>
      <c r="AJ64" s="12"/>
      <c r="AK64" s="12"/>
      <c r="AL64" s="12"/>
      <c r="AM64" s="12"/>
    </row>
    <row r="65" ht="39.0" customHeight="1">
      <c r="A65" s="25" t="s">
        <v>306</v>
      </c>
      <c r="B65" s="14"/>
      <c r="C65" s="25" t="s">
        <v>307</v>
      </c>
      <c r="D65" s="25" t="s">
        <v>308</v>
      </c>
      <c r="E65" s="25" t="s">
        <v>43</v>
      </c>
      <c r="F65" s="25" t="s">
        <v>309</v>
      </c>
      <c r="G65" s="25" t="s">
        <v>45</v>
      </c>
      <c r="H65" s="25" t="s">
        <v>310</v>
      </c>
      <c r="I65" s="26" t="s">
        <v>311</v>
      </c>
      <c r="J65" s="25" t="s">
        <v>282</v>
      </c>
      <c r="K65" s="25" t="s">
        <v>49</v>
      </c>
      <c r="L65" s="25" t="s">
        <v>50</v>
      </c>
      <c r="M65" s="25" t="s">
        <v>51</v>
      </c>
      <c r="N65" s="25" t="s">
        <v>51</v>
      </c>
      <c r="O65" s="25" t="s">
        <v>172</v>
      </c>
      <c r="P65" s="21" t="s">
        <v>53</v>
      </c>
      <c r="Q65" s="22">
        <v>0.02361111111111111</v>
      </c>
      <c r="R65" s="13">
        <v>0.0</v>
      </c>
      <c r="S65" s="13">
        <f t="shared" si="13"/>
        <v>0.02361111111</v>
      </c>
      <c r="T65" s="25" t="s">
        <v>54</v>
      </c>
      <c r="U65" s="14"/>
      <c r="V65" s="13">
        <f t="shared" si="1"/>
        <v>0.02361111111</v>
      </c>
      <c r="W65" s="19" t="s">
        <v>56</v>
      </c>
      <c r="X65" s="20" t="s">
        <v>57</v>
      </c>
      <c r="Y65" s="25" t="s">
        <v>248</v>
      </c>
      <c r="Z65" s="14"/>
      <c r="AA65" s="27"/>
      <c r="AB65" s="26" t="s">
        <v>45</v>
      </c>
      <c r="AC65" s="28"/>
      <c r="AD65" s="25" t="s">
        <v>240</v>
      </c>
      <c r="AE65" s="25" t="s">
        <v>155</v>
      </c>
      <c r="AF65" s="25" t="s">
        <v>312</v>
      </c>
      <c r="AG65" s="25" t="s">
        <v>63</v>
      </c>
      <c r="AH65" s="14"/>
      <c r="AI65" s="14"/>
      <c r="AJ65" s="14"/>
      <c r="AK65" s="14"/>
      <c r="AL65" s="14"/>
      <c r="AM65" s="14"/>
    </row>
    <row r="66" ht="39.0" customHeight="1">
      <c r="A66" s="19" t="s">
        <v>313</v>
      </c>
      <c r="B66" s="12"/>
      <c r="C66" s="19" t="s">
        <v>314</v>
      </c>
      <c r="D66" s="19" t="s">
        <v>315</v>
      </c>
      <c r="E66" s="19" t="s">
        <v>43</v>
      </c>
      <c r="F66" s="19" t="s">
        <v>316</v>
      </c>
      <c r="G66" s="19" t="s">
        <v>45</v>
      </c>
      <c r="H66" s="19" t="s">
        <v>317</v>
      </c>
      <c r="I66" s="20" t="s">
        <v>71</v>
      </c>
      <c r="J66" s="19" t="s">
        <v>282</v>
      </c>
      <c r="K66" s="19" t="s">
        <v>49</v>
      </c>
      <c r="L66" s="19" t="s">
        <v>50</v>
      </c>
      <c r="M66" s="19" t="s">
        <v>51</v>
      </c>
      <c r="N66" s="19" t="s">
        <v>51</v>
      </c>
      <c r="O66" s="19" t="s">
        <v>293</v>
      </c>
      <c r="P66" s="21" t="s">
        <v>53</v>
      </c>
      <c r="Q66" s="22">
        <v>0.02361111111111111</v>
      </c>
      <c r="R66" s="13">
        <v>0.0</v>
      </c>
      <c r="S66" s="15">
        <f>Q66+R66</f>
        <v>0.02361111111</v>
      </c>
      <c r="T66" s="19" t="s">
        <v>54</v>
      </c>
      <c r="U66" s="19" t="s">
        <v>55</v>
      </c>
      <c r="V66" s="13">
        <f t="shared" si="1"/>
        <v>0.02361111111</v>
      </c>
      <c r="W66" s="19" t="s">
        <v>56</v>
      </c>
      <c r="X66" s="20" t="s">
        <v>57</v>
      </c>
      <c r="Y66" s="25" t="s">
        <v>248</v>
      </c>
      <c r="Z66" s="12"/>
      <c r="AA66" s="23"/>
      <c r="AB66" s="20" t="s">
        <v>45</v>
      </c>
      <c r="AC66" s="24"/>
      <c r="AD66" s="19" t="s">
        <v>63</v>
      </c>
      <c r="AE66" s="12"/>
      <c r="AF66" s="12"/>
      <c r="AG66" s="12"/>
      <c r="AH66" s="12"/>
      <c r="AI66" s="12"/>
      <c r="AJ66" s="12"/>
      <c r="AK66" s="12"/>
      <c r="AL66" s="12"/>
      <c r="AM66" s="12"/>
    </row>
    <row r="67" ht="65.25" customHeight="1">
      <c r="A67" s="25" t="s">
        <v>313</v>
      </c>
      <c r="B67" s="14"/>
      <c r="C67" s="25" t="s">
        <v>314</v>
      </c>
      <c r="D67" s="25" t="s">
        <v>315</v>
      </c>
      <c r="E67" s="25" t="s">
        <v>43</v>
      </c>
      <c r="F67" s="25" t="s">
        <v>316</v>
      </c>
      <c r="G67" s="25" t="s">
        <v>45</v>
      </c>
      <c r="H67" s="25" t="s">
        <v>317</v>
      </c>
      <c r="I67" s="26" t="s">
        <v>71</v>
      </c>
      <c r="J67" s="25" t="s">
        <v>282</v>
      </c>
      <c r="K67" s="25" t="s">
        <v>49</v>
      </c>
      <c r="L67" s="25" t="s">
        <v>50</v>
      </c>
      <c r="M67" s="25" t="s">
        <v>51</v>
      </c>
      <c r="N67" s="25" t="s">
        <v>51</v>
      </c>
      <c r="O67" s="25" t="s">
        <v>293</v>
      </c>
      <c r="P67" s="21" t="s">
        <v>53</v>
      </c>
      <c r="Q67" s="22">
        <v>0.02361111111111111</v>
      </c>
      <c r="R67" s="13">
        <v>0.0</v>
      </c>
      <c r="S67" s="13">
        <f>TIMEVALUE(Q67+R67)</f>
        <v>0.02361111111</v>
      </c>
      <c r="T67" s="25" t="s">
        <v>54</v>
      </c>
      <c r="U67" s="14"/>
      <c r="V67" s="13">
        <f t="shared" si="1"/>
        <v>0.02361111111</v>
      </c>
      <c r="W67" s="19" t="s">
        <v>56</v>
      </c>
      <c r="X67" s="20" t="s">
        <v>57</v>
      </c>
      <c r="Y67" s="25" t="s">
        <v>248</v>
      </c>
      <c r="Z67" s="14"/>
      <c r="AA67" s="27"/>
      <c r="AB67" s="26" t="s">
        <v>45</v>
      </c>
      <c r="AC67" s="28"/>
      <c r="AD67" s="25" t="s">
        <v>63</v>
      </c>
      <c r="AE67" s="14"/>
      <c r="AF67" s="14"/>
      <c r="AG67" s="14"/>
      <c r="AH67" s="14"/>
      <c r="AI67" s="14"/>
      <c r="AJ67" s="14"/>
      <c r="AK67" s="14"/>
      <c r="AL67" s="14"/>
      <c r="AM67" s="14"/>
    </row>
    <row r="68" ht="65.25" customHeight="1">
      <c r="A68" s="19" t="s">
        <v>318</v>
      </c>
      <c r="B68" s="12"/>
      <c r="C68" s="19" t="s">
        <v>319</v>
      </c>
      <c r="D68" s="19" t="s">
        <v>320</v>
      </c>
      <c r="E68" s="19" t="s">
        <v>43</v>
      </c>
      <c r="F68" s="19" t="s">
        <v>321</v>
      </c>
      <c r="G68" s="19" t="s">
        <v>45</v>
      </c>
      <c r="H68" s="19" t="s">
        <v>322</v>
      </c>
      <c r="I68" s="20" t="s">
        <v>323</v>
      </c>
      <c r="J68" s="19" t="s">
        <v>282</v>
      </c>
      <c r="K68" s="19" t="s">
        <v>49</v>
      </c>
      <c r="L68" s="19" t="s">
        <v>50</v>
      </c>
      <c r="M68" s="19" t="s">
        <v>51</v>
      </c>
      <c r="N68" s="19" t="s">
        <v>51</v>
      </c>
      <c r="O68" s="19" t="s">
        <v>293</v>
      </c>
      <c r="P68" s="21" t="s">
        <v>53</v>
      </c>
      <c r="Q68" s="22">
        <v>0.02361111111111111</v>
      </c>
      <c r="R68" s="13">
        <v>0.0</v>
      </c>
      <c r="S68" s="15">
        <f>Q68+R68</f>
        <v>0.02361111111</v>
      </c>
      <c r="T68" s="19" t="s">
        <v>54</v>
      </c>
      <c r="U68" s="19" t="s">
        <v>72</v>
      </c>
      <c r="V68" s="13">
        <f t="shared" si="1"/>
        <v>0.02361111111</v>
      </c>
      <c r="W68" s="19" t="s">
        <v>56</v>
      </c>
      <c r="X68" s="20" t="s">
        <v>57</v>
      </c>
      <c r="Y68" s="25" t="s">
        <v>248</v>
      </c>
      <c r="Z68" s="12"/>
      <c r="AA68" s="23"/>
      <c r="AB68" s="20" t="s">
        <v>45</v>
      </c>
      <c r="AC68" s="24"/>
      <c r="AD68" s="19" t="s">
        <v>324</v>
      </c>
      <c r="AE68" s="19" t="s">
        <v>325</v>
      </c>
      <c r="AF68" s="19" t="s">
        <v>326</v>
      </c>
      <c r="AG68" s="19" t="s">
        <v>327</v>
      </c>
      <c r="AH68" s="19" t="s">
        <v>63</v>
      </c>
      <c r="AI68" s="12"/>
      <c r="AJ68" s="12"/>
      <c r="AK68" s="12"/>
      <c r="AL68" s="12"/>
      <c r="AM68" s="12"/>
    </row>
    <row r="69" ht="39.0" customHeight="1">
      <c r="A69" s="25" t="s">
        <v>318</v>
      </c>
      <c r="B69" s="14"/>
      <c r="C69" s="25" t="s">
        <v>319</v>
      </c>
      <c r="D69" s="25" t="s">
        <v>320</v>
      </c>
      <c r="E69" s="25" t="s">
        <v>43</v>
      </c>
      <c r="F69" s="25" t="s">
        <v>321</v>
      </c>
      <c r="G69" s="25" t="s">
        <v>45</v>
      </c>
      <c r="H69" s="25" t="s">
        <v>322</v>
      </c>
      <c r="I69" s="26" t="s">
        <v>323</v>
      </c>
      <c r="J69" s="25" t="s">
        <v>282</v>
      </c>
      <c r="K69" s="25" t="s">
        <v>49</v>
      </c>
      <c r="L69" s="25" t="s">
        <v>50</v>
      </c>
      <c r="M69" s="25" t="s">
        <v>51</v>
      </c>
      <c r="N69" s="25" t="s">
        <v>51</v>
      </c>
      <c r="O69" s="25" t="s">
        <v>293</v>
      </c>
      <c r="P69" s="21" t="s">
        <v>53</v>
      </c>
      <c r="Q69" s="22">
        <v>0.02361111111111111</v>
      </c>
      <c r="R69" s="13">
        <v>0.0</v>
      </c>
      <c r="S69" s="13">
        <f t="shared" ref="S69:S70" si="14">TIMEVALUE(Q69+R69)</f>
        <v>0.02361111111</v>
      </c>
      <c r="T69" s="25" t="s">
        <v>54</v>
      </c>
      <c r="U69" s="14"/>
      <c r="V69" s="13">
        <f t="shared" si="1"/>
        <v>0.02361111111</v>
      </c>
      <c r="W69" s="19" t="s">
        <v>56</v>
      </c>
      <c r="X69" s="20" t="s">
        <v>57</v>
      </c>
      <c r="Y69" s="25" t="s">
        <v>248</v>
      </c>
      <c r="Z69" s="14"/>
      <c r="AA69" s="27"/>
      <c r="AB69" s="26" t="s">
        <v>45</v>
      </c>
      <c r="AC69" s="28"/>
      <c r="AD69" s="25" t="s">
        <v>324</v>
      </c>
      <c r="AE69" s="25" t="s">
        <v>325</v>
      </c>
      <c r="AF69" s="25" t="s">
        <v>326</v>
      </c>
      <c r="AG69" s="25" t="s">
        <v>327</v>
      </c>
      <c r="AH69" s="25" t="s">
        <v>63</v>
      </c>
      <c r="AI69" s="14"/>
      <c r="AJ69" s="14"/>
      <c r="AK69" s="14"/>
      <c r="AL69" s="14"/>
      <c r="AM69" s="14"/>
    </row>
    <row r="70" ht="39.0" customHeight="1">
      <c r="A70" s="25" t="s">
        <v>328</v>
      </c>
      <c r="B70" s="14"/>
      <c r="C70" s="25" t="s">
        <v>329</v>
      </c>
      <c r="D70" s="25" t="s">
        <v>330</v>
      </c>
      <c r="E70" s="25" t="s">
        <v>43</v>
      </c>
      <c r="F70" s="25" t="s">
        <v>331</v>
      </c>
      <c r="G70" s="25" t="s">
        <v>45</v>
      </c>
      <c r="H70" s="25" t="s">
        <v>332</v>
      </c>
      <c r="I70" s="26" t="s">
        <v>333</v>
      </c>
      <c r="J70" s="25" t="s">
        <v>282</v>
      </c>
      <c r="K70" s="25" t="s">
        <v>49</v>
      </c>
      <c r="L70" s="25" t="s">
        <v>50</v>
      </c>
      <c r="M70" s="25" t="s">
        <v>51</v>
      </c>
      <c r="N70" s="25" t="s">
        <v>51</v>
      </c>
      <c r="O70" s="25" t="s">
        <v>293</v>
      </c>
      <c r="P70" s="21" t="s">
        <v>53</v>
      </c>
      <c r="Q70" s="22">
        <v>0.02361111111111111</v>
      </c>
      <c r="R70" s="13">
        <v>0.0</v>
      </c>
      <c r="S70" s="13">
        <f t="shared" si="14"/>
        <v>0.02361111111</v>
      </c>
      <c r="T70" s="25" t="s">
        <v>54</v>
      </c>
      <c r="U70" s="25" t="s">
        <v>72</v>
      </c>
      <c r="V70" s="13">
        <f t="shared" si="1"/>
        <v>0.02361111111</v>
      </c>
      <c r="W70" s="19" t="s">
        <v>56</v>
      </c>
      <c r="X70" s="20" t="s">
        <v>57</v>
      </c>
      <c r="Y70" s="25" t="s">
        <v>248</v>
      </c>
      <c r="Z70" s="14"/>
      <c r="AA70" s="27"/>
      <c r="AB70" s="26" t="s">
        <v>45</v>
      </c>
      <c r="AC70" s="28"/>
      <c r="AD70" s="25" t="s">
        <v>63</v>
      </c>
      <c r="AE70" s="25" t="s">
        <v>82</v>
      </c>
      <c r="AF70" s="25" t="s">
        <v>85</v>
      </c>
      <c r="AG70" s="14"/>
      <c r="AH70" s="14"/>
      <c r="AI70" s="14"/>
      <c r="AJ70" s="14"/>
      <c r="AK70" s="14"/>
      <c r="AL70" s="14"/>
      <c r="AM70" s="14"/>
    </row>
    <row r="71" ht="104.25" customHeight="1">
      <c r="A71" s="19" t="s">
        <v>328</v>
      </c>
      <c r="B71" s="12"/>
      <c r="C71" s="19" t="s">
        <v>329</v>
      </c>
      <c r="D71" s="19" t="s">
        <v>330</v>
      </c>
      <c r="E71" s="19" t="s">
        <v>43</v>
      </c>
      <c r="F71" s="19" t="s">
        <v>331</v>
      </c>
      <c r="G71" s="19" t="s">
        <v>45</v>
      </c>
      <c r="H71" s="19" t="s">
        <v>332</v>
      </c>
      <c r="I71" s="20" t="s">
        <v>333</v>
      </c>
      <c r="J71" s="19" t="s">
        <v>282</v>
      </c>
      <c r="K71" s="19" t="s">
        <v>49</v>
      </c>
      <c r="L71" s="19" t="s">
        <v>50</v>
      </c>
      <c r="M71" s="19" t="s">
        <v>51</v>
      </c>
      <c r="N71" s="19" t="s">
        <v>51</v>
      </c>
      <c r="O71" s="19" t="s">
        <v>293</v>
      </c>
      <c r="P71" s="21" t="s">
        <v>53</v>
      </c>
      <c r="Q71" s="22">
        <v>0.02361111111111111</v>
      </c>
      <c r="R71" s="13">
        <v>0.0</v>
      </c>
      <c r="S71" s="15">
        <f>Q71+R71</f>
        <v>0.02361111111</v>
      </c>
      <c r="T71" s="19" t="s">
        <v>54</v>
      </c>
      <c r="U71" s="12"/>
      <c r="V71" s="13">
        <f t="shared" si="1"/>
        <v>0.02361111111</v>
      </c>
      <c r="W71" s="19" t="s">
        <v>56</v>
      </c>
      <c r="X71" s="20" t="s">
        <v>57</v>
      </c>
      <c r="Y71" s="25" t="s">
        <v>248</v>
      </c>
      <c r="Z71" s="12"/>
      <c r="AA71" s="23"/>
      <c r="AB71" s="20" t="s">
        <v>45</v>
      </c>
      <c r="AC71" s="24"/>
      <c r="AD71" s="19" t="s">
        <v>63</v>
      </c>
      <c r="AE71" s="19" t="s">
        <v>82</v>
      </c>
      <c r="AF71" s="19" t="s">
        <v>85</v>
      </c>
      <c r="AG71" s="12"/>
      <c r="AH71" s="12"/>
      <c r="AI71" s="12"/>
      <c r="AJ71" s="12"/>
      <c r="AK71" s="12"/>
      <c r="AL71" s="12"/>
      <c r="AM71" s="12"/>
    </row>
    <row r="72" ht="104.25" customHeight="1">
      <c r="A72" s="25" t="s">
        <v>334</v>
      </c>
      <c r="B72" s="14"/>
      <c r="C72" s="25" t="s">
        <v>335</v>
      </c>
      <c r="D72" s="25" t="s">
        <v>336</v>
      </c>
      <c r="E72" s="25" t="s">
        <v>43</v>
      </c>
      <c r="F72" s="25" t="s">
        <v>337</v>
      </c>
      <c r="G72" s="25" t="s">
        <v>45</v>
      </c>
      <c r="H72" s="25" t="s">
        <v>338</v>
      </c>
      <c r="I72" s="26" t="s">
        <v>339</v>
      </c>
      <c r="J72" s="25" t="s">
        <v>282</v>
      </c>
      <c r="K72" s="25" t="s">
        <v>49</v>
      </c>
      <c r="L72" s="25" t="s">
        <v>50</v>
      </c>
      <c r="M72" s="25" t="s">
        <v>283</v>
      </c>
      <c r="N72" s="25" t="s">
        <v>283</v>
      </c>
      <c r="O72" s="25" t="s">
        <v>172</v>
      </c>
      <c r="P72" s="21" t="s">
        <v>53</v>
      </c>
      <c r="Q72" s="22">
        <v>0.02361111111111111</v>
      </c>
      <c r="R72" s="13">
        <v>0.0</v>
      </c>
      <c r="S72" s="13">
        <f>TIMEVALUE(Q72+R72)</f>
        <v>0.02361111111</v>
      </c>
      <c r="T72" s="25" t="s">
        <v>54</v>
      </c>
      <c r="U72" s="25" t="s">
        <v>72</v>
      </c>
      <c r="V72" s="13">
        <f t="shared" si="1"/>
        <v>0.02361111111</v>
      </c>
      <c r="W72" s="19" t="s">
        <v>56</v>
      </c>
      <c r="X72" s="20" t="s">
        <v>57</v>
      </c>
      <c r="Y72" s="25" t="s">
        <v>248</v>
      </c>
      <c r="Z72" s="14"/>
      <c r="AA72" s="27"/>
      <c r="AB72" s="26" t="s">
        <v>45</v>
      </c>
      <c r="AC72" s="28"/>
      <c r="AD72" s="25" t="s">
        <v>340</v>
      </c>
      <c r="AE72" s="25" t="s">
        <v>155</v>
      </c>
      <c r="AF72" s="14"/>
      <c r="AG72" s="14"/>
      <c r="AH72" s="14"/>
      <c r="AI72" s="14"/>
      <c r="AJ72" s="14"/>
      <c r="AK72" s="14"/>
      <c r="AL72" s="14"/>
      <c r="AM72" s="14"/>
    </row>
    <row r="73" ht="78.0" customHeight="1">
      <c r="A73" s="19" t="s">
        <v>334</v>
      </c>
      <c r="B73" s="12"/>
      <c r="C73" s="19" t="s">
        <v>335</v>
      </c>
      <c r="D73" s="19" t="s">
        <v>336</v>
      </c>
      <c r="E73" s="19" t="s">
        <v>43</v>
      </c>
      <c r="F73" s="19" t="s">
        <v>337</v>
      </c>
      <c r="G73" s="19" t="s">
        <v>45</v>
      </c>
      <c r="H73" s="19" t="s">
        <v>338</v>
      </c>
      <c r="I73" s="20" t="s">
        <v>339</v>
      </c>
      <c r="J73" s="19" t="s">
        <v>282</v>
      </c>
      <c r="K73" s="19" t="s">
        <v>49</v>
      </c>
      <c r="L73" s="19" t="s">
        <v>50</v>
      </c>
      <c r="M73" s="19" t="s">
        <v>283</v>
      </c>
      <c r="N73" s="19" t="s">
        <v>283</v>
      </c>
      <c r="O73" s="19" t="s">
        <v>172</v>
      </c>
      <c r="P73" s="21" t="s">
        <v>53</v>
      </c>
      <c r="Q73" s="22">
        <v>0.02361111111111111</v>
      </c>
      <c r="R73" s="13">
        <v>0.0</v>
      </c>
      <c r="S73" s="15">
        <f>Q73+R73</f>
        <v>0.02361111111</v>
      </c>
      <c r="T73" s="19" t="s">
        <v>54</v>
      </c>
      <c r="U73" s="12"/>
      <c r="V73" s="13">
        <f t="shared" si="1"/>
        <v>0.02361111111</v>
      </c>
      <c r="W73" s="19" t="s">
        <v>56</v>
      </c>
      <c r="X73" s="20" t="s">
        <v>57</v>
      </c>
      <c r="Y73" s="25" t="s">
        <v>248</v>
      </c>
      <c r="Z73" s="12"/>
      <c r="AA73" s="23"/>
      <c r="AB73" s="20" t="s">
        <v>45</v>
      </c>
      <c r="AC73" s="24"/>
      <c r="AD73" s="19" t="s">
        <v>340</v>
      </c>
      <c r="AE73" s="19" t="s">
        <v>155</v>
      </c>
      <c r="AF73" s="12"/>
      <c r="AG73" s="12"/>
      <c r="AH73" s="12"/>
      <c r="AI73" s="12"/>
      <c r="AJ73" s="12"/>
      <c r="AK73" s="12"/>
      <c r="AL73" s="12"/>
      <c r="AM73" s="12"/>
    </row>
    <row r="74" ht="39.0" customHeight="1">
      <c r="A74" s="19" t="s">
        <v>341</v>
      </c>
      <c r="B74" s="12"/>
      <c r="C74" s="19" t="s">
        <v>342</v>
      </c>
      <c r="D74" s="19" t="s">
        <v>343</v>
      </c>
      <c r="E74" s="19" t="s">
        <v>43</v>
      </c>
      <c r="F74" s="19" t="s">
        <v>344</v>
      </c>
      <c r="G74" s="19" t="s">
        <v>45</v>
      </c>
      <c r="H74" s="19" t="s">
        <v>345</v>
      </c>
      <c r="I74" s="20" t="s">
        <v>71</v>
      </c>
      <c r="J74" s="19" t="s">
        <v>282</v>
      </c>
      <c r="K74" s="19" t="s">
        <v>49</v>
      </c>
      <c r="L74" s="19" t="s">
        <v>50</v>
      </c>
      <c r="M74" s="19" t="s">
        <v>51</v>
      </c>
      <c r="N74" s="19" t="s">
        <v>51</v>
      </c>
      <c r="O74" s="19" t="s">
        <v>293</v>
      </c>
      <c r="P74" s="21" t="s">
        <v>53</v>
      </c>
      <c r="Q74" s="22">
        <v>0.02361111111111111</v>
      </c>
      <c r="R74" s="13">
        <v>0.0</v>
      </c>
      <c r="S74" s="13">
        <f t="shared" ref="S74:S75" si="15">TIMEVALUE(Q74+R74)</f>
        <v>0.02361111111</v>
      </c>
      <c r="T74" s="19" t="s">
        <v>54</v>
      </c>
      <c r="U74" s="19" t="s">
        <v>72</v>
      </c>
      <c r="V74" s="13">
        <f t="shared" si="1"/>
        <v>0.02361111111</v>
      </c>
      <c r="W74" s="19" t="s">
        <v>56</v>
      </c>
      <c r="X74" s="20" t="s">
        <v>57</v>
      </c>
      <c r="Y74" s="25" t="s">
        <v>248</v>
      </c>
      <c r="Z74" s="12"/>
      <c r="AA74" s="23"/>
      <c r="AB74" s="20" t="s">
        <v>45</v>
      </c>
      <c r="AC74" s="24"/>
      <c r="AD74" s="19" t="s">
        <v>63</v>
      </c>
      <c r="AE74" s="12"/>
      <c r="AF74" s="12"/>
      <c r="AG74" s="12"/>
      <c r="AH74" s="12"/>
      <c r="AI74" s="12"/>
      <c r="AJ74" s="12"/>
      <c r="AK74" s="12"/>
      <c r="AL74" s="12"/>
      <c r="AM74" s="12"/>
    </row>
    <row r="75" ht="39.0" customHeight="1">
      <c r="A75" s="25" t="s">
        <v>341</v>
      </c>
      <c r="B75" s="14"/>
      <c r="C75" s="25" t="s">
        <v>342</v>
      </c>
      <c r="D75" s="25" t="s">
        <v>343</v>
      </c>
      <c r="E75" s="25" t="s">
        <v>43</v>
      </c>
      <c r="F75" s="25" t="s">
        <v>344</v>
      </c>
      <c r="G75" s="25" t="s">
        <v>45</v>
      </c>
      <c r="H75" s="25" t="s">
        <v>345</v>
      </c>
      <c r="I75" s="26" t="s">
        <v>71</v>
      </c>
      <c r="J75" s="25" t="s">
        <v>282</v>
      </c>
      <c r="K75" s="25" t="s">
        <v>49</v>
      </c>
      <c r="L75" s="25" t="s">
        <v>50</v>
      </c>
      <c r="M75" s="25" t="s">
        <v>51</v>
      </c>
      <c r="N75" s="25" t="s">
        <v>51</v>
      </c>
      <c r="O75" s="25" t="s">
        <v>293</v>
      </c>
      <c r="P75" s="21" t="s">
        <v>53</v>
      </c>
      <c r="Q75" s="22">
        <v>0.02361111111111111</v>
      </c>
      <c r="R75" s="13">
        <v>0.0</v>
      </c>
      <c r="S75" s="13">
        <f t="shared" si="15"/>
        <v>0.02361111111</v>
      </c>
      <c r="T75" s="25" t="s">
        <v>54</v>
      </c>
      <c r="U75" s="14"/>
      <c r="V75" s="13">
        <f t="shared" si="1"/>
        <v>0.02361111111</v>
      </c>
      <c r="W75" s="19" t="s">
        <v>56</v>
      </c>
      <c r="X75" s="20" t="s">
        <v>57</v>
      </c>
      <c r="Y75" s="25" t="s">
        <v>248</v>
      </c>
      <c r="Z75" s="14"/>
      <c r="AA75" s="27"/>
      <c r="AB75" s="26" t="s">
        <v>45</v>
      </c>
      <c r="AC75" s="28"/>
      <c r="AD75" s="25" t="s">
        <v>63</v>
      </c>
      <c r="AE75" s="14"/>
      <c r="AF75" s="14"/>
      <c r="AG75" s="14"/>
      <c r="AH75" s="14"/>
      <c r="AI75" s="14"/>
      <c r="AJ75" s="14"/>
      <c r="AK75" s="14"/>
      <c r="AL75" s="14"/>
      <c r="AM75" s="14"/>
    </row>
    <row r="76" ht="52.5" customHeight="1">
      <c r="A76" s="19" t="s">
        <v>341</v>
      </c>
      <c r="B76" s="19" t="s">
        <v>346</v>
      </c>
      <c r="C76" s="19" t="s">
        <v>347</v>
      </c>
      <c r="D76" s="19" t="s">
        <v>348</v>
      </c>
      <c r="E76" s="19" t="s">
        <v>43</v>
      </c>
      <c r="F76" s="19" t="s">
        <v>349</v>
      </c>
      <c r="G76" s="19" t="s">
        <v>45</v>
      </c>
      <c r="H76" s="19" t="s">
        <v>350</v>
      </c>
      <c r="I76" s="20" t="s">
        <v>351</v>
      </c>
      <c r="J76" s="19" t="s">
        <v>282</v>
      </c>
      <c r="K76" s="19" t="s">
        <v>49</v>
      </c>
      <c r="L76" s="19" t="s">
        <v>50</v>
      </c>
      <c r="M76" s="19" t="s">
        <v>51</v>
      </c>
      <c r="N76" s="19" t="s">
        <v>51</v>
      </c>
      <c r="O76" s="19" t="s">
        <v>293</v>
      </c>
      <c r="P76" s="21" t="s">
        <v>53</v>
      </c>
      <c r="Q76" s="22">
        <v>0.02361111111111111</v>
      </c>
      <c r="R76" s="13">
        <v>0.0</v>
      </c>
      <c r="S76" s="15">
        <f>Q76+R76</f>
        <v>0.02361111111</v>
      </c>
      <c r="T76" s="19" t="s">
        <v>54</v>
      </c>
      <c r="U76" s="19" t="s">
        <v>72</v>
      </c>
      <c r="V76" s="13">
        <f t="shared" si="1"/>
        <v>0.02361111111</v>
      </c>
      <c r="W76" s="19" t="s">
        <v>56</v>
      </c>
      <c r="X76" s="20" t="s">
        <v>57</v>
      </c>
      <c r="Y76" s="25" t="s">
        <v>248</v>
      </c>
      <c r="Z76" s="12"/>
      <c r="AA76" s="23"/>
      <c r="AB76" s="20" t="s">
        <v>45</v>
      </c>
      <c r="AC76" s="24"/>
      <c r="AD76" s="19" t="s">
        <v>352</v>
      </c>
      <c r="AE76" s="19" t="s">
        <v>155</v>
      </c>
      <c r="AF76" s="19" t="s">
        <v>63</v>
      </c>
      <c r="AG76" s="12"/>
      <c r="AH76" s="12"/>
      <c r="AI76" s="12"/>
      <c r="AJ76" s="12"/>
      <c r="AK76" s="12"/>
      <c r="AL76" s="12"/>
      <c r="AM76" s="12"/>
    </row>
    <row r="77" ht="52.5" customHeight="1">
      <c r="A77" s="25" t="s">
        <v>341</v>
      </c>
      <c r="B77" s="25" t="s">
        <v>346</v>
      </c>
      <c r="C77" s="25" t="s">
        <v>347</v>
      </c>
      <c r="D77" s="25" t="s">
        <v>348</v>
      </c>
      <c r="E77" s="25" t="s">
        <v>43</v>
      </c>
      <c r="F77" s="25" t="s">
        <v>349</v>
      </c>
      <c r="G77" s="25" t="s">
        <v>45</v>
      </c>
      <c r="H77" s="25" t="s">
        <v>350</v>
      </c>
      <c r="I77" s="26" t="s">
        <v>351</v>
      </c>
      <c r="J77" s="25" t="s">
        <v>282</v>
      </c>
      <c r="K77" s="25" t="s">
        <v>49</v>
      </c>
      <c r="L77" s="25" t="s">
        <v>50</v>
      </c>
      <c r="M77" s="25" t="s">
        <v>51</v>
      </c>
      <c r="N77" s="25" t="s">
        <v>51</v>
      </c>
      <c r="O77" s="25" t="s">
        <v>293</v>
      </c>
      <c r="P77" s="21" t="s">
        <v>53</v>
      </c>
      <c r="Q77" s="22">
        <v>0.02361111111111111</v>
      </c>
      <c r="R77" s="13">
        <v>0.0</v>
      </c>
      <c r="S77" s="13">
        <f>TIMEVALUE(Q77+R77)</f>
        <v>0.02361111111</v>
      </c>
      <c r="T77" s="25" t="s">
        <v>54</v>
      </c>
      <c r="U77" s="14"/>
      <c r="V77" s="13">
        <f t="shared" si="1"/>
        <v>0.02361111111</v>
      </c>
      <c r="W77" s="19" t="s">
        <v>56</v>
      </c>
      <c r="X77" s="20" t="s">
        <v>57</v>
      </c>
      <c r="Y77" s="25" t="s">
        <v>248</v>
      </c>
      <c r="Z77" s="14"/>
      <c r="AA77" s="27"/>
      <c r="AB77" s="26" t="s">
        <v>45</v>
      </c>
      <c r="AC77" s="28"/>
      <c r="AD77" s="25" t="s">
        <v>352</v>
      </c>
      <c r="AE77" s="25" t="s">
        <v>155</v>
      </c>
      <c r="AF77" s="25" t="s">
        <v>63</v>
      </c>
      <c r="AG77" s="14"/>
      <c r="AH77" s="14"/>
      <c r="AI77" s="14"/>
      <c r="AJ77" s="14"/>
      <c r="AK77" s="14"/>
      <c r="AL77" s="14"/>
      <c r="AM77" s="14"/>
    </row>
    <row r="78" ht="39.0" customHeight="1">
      <c r="A78" s="19" t="s">
        <v>353</v>
      </c>
      <c r="B78" s="12"/>
      <c r="C78" s="19" t="s">
        <v>354</v>
      </c>
      <c r="D78" s="19" t="s">
        <v>355</v>
      </c>
      <c r="E78" s="19" t="s">
        <v>43</v>
      </c>
      <c r="F78" s="19" t="s">
        <v>356</v>
      </c>
      <c r="G78" s="19" t="s">
        <v>45</v>
      </c>
      <c r="H78" s="19" t="s">
        <v>357</v>
      </c>
      <c r="I78" s="20" t="s">
        <v>71</v>
      </c>
      <c r="J78" s="19" t="s">
        <v>282</v>
      </c>
      <c r="K78" s="19" t="s">
        <v>49</v>
      </c>
      <c r="L78" s="19" t="s">
        <v>50</v>
      </c>
      <c r="M78" s="19" t="s">
        <v>51</v>
      </c>
      <c r="N78" s="19" t="s">
        <v>51</v>
      </c>
      <c r="O78" s="19" t="s">
        <v>293</v>
      </c>
      <c r="P78" s="21" t="s">
        <v>53</v>
      </c>
      <c r="Q78" s="22">
        <v>0.02361111111111111</v>
      </c>
      <c r="R78" s="13">
        <v>0.0</v>
      </c>
      <c r="S78" s="15">
        <f>Q78+R78</f>
        <v>0.02361111111</v>
      </c>
      <c r="T78" s="19" t="s">
        <v>54</v>
      </c>
      <c r="U78" s="19" t="s">
        <v>72</v>
      </c>
      <c r="V78" s="13">
        <f t="shared" si="1"/>
        <v>0.02361111111</v>
      </c>
      <c r="W78" s="19" t="s">
        <v>56</v>
      </c>
      <c r="X78" s="20" t="s">
        <v>57</v>
      </c>
      <c r="Y78" s="25" t="s">
        <v>248</v>
      </c>
      <c r="Z78" s="12"/>
      <c r="AA78" s="23"/>
      <c r="AB78" s="20" t="s">
        <v>45</v>
      </c>
      <c r="AC78" s="24"/>
      <c r="AD78" s="19" t="s">
        <v>63</v>
      </c>
      <c r="AE78" s="12"/>
      <c r="AF78" s="12"/>
      <c r="AG78" s="12"/>
      <c r="AH78" s="12"/>
      <c r="AI78" s="12"/>
      <c r="AJ78" s="12"/>
      <c r="AK78" s="12"/>
      <c r="AL78" s="12"/>
      <c r="AM78" s="12"/>
    </row>
    <row r="79" ht="39.0" customHeight="1">
      <c r="A79" s="25" t="s">
        <v>353</v>
      </c>
      <c r="B79" s="14"/>
      <c r="C79" s="25" t="s">
        <v>354</v>
      </c>
      <c r="D79" s="25" t="s">
        <v>355</v>
      </c>
      <c r="E79" s="25" t="s">
        <v>43</v>
      </c>
      <c r="F79" s="25" t="s">
        <v>356</v>
      </c>
      <c r="G79" s="25" t="s">
        <v>45</v>
      </c>
      <c r="H79" s="25" t="s">
        <v>357</v>
      </c>
      <c r="I79" s="26" t="s">
        <v>71</v>
      </c>
      <c r="J79" s="25" t="s">
        <v>282</v>
      </c>
      <c r="K79" s="25" t="s">
        <v>49</v>
      </c>
      <c r="L79" s="25" t="s">
        <v>50</v>
      </c>
      <c r="M79" s="25" t="s">
        <v>51</v>
      </c>
      <c r="N79" s="25" t="s">
        <v>51</v>
      </c>
      <c r="O79" s="25" t="s">
        <v>293</v>
      </c>
      <c r="P79" s="21" t="s">
        <v>53</v>
      </c>
      <c r="Q79" s="22">
        <v>0.02361111111111111</v>
      </c>
      <c r="R79" s="13">
        <v>0.0</v>
      </c>
      <c r="S79" s="13">
        <f t="shared" ref="S79:S80" si="16">TIMEVALUE(Q79+R79)</f>
        <v>0.02361111111</v>
      </c>
      <c r="T79" s="25" t="s">
        <v>54</v>
      </c>
      <c r="U79" s="14"/>
      <c r="V79" s="13">
        <f t="shared" si="1"/>
        <v>0.02361111111</v>
      </c>
      <c r="W79" s="19" t="s">
        <v>56</v>
      </c>
      <c r="X79" s="20" t="s">
        <v>57</v>
      </c>
      <c r="Y79" s="25" t="s">
        <v>248</v>
      </c>
      <c r="Z79" s="14"/>
      <c r="AA79" s="27"/>
      <c r="AB79" s="26" t="s">
        <v>45</v>
      </c>
      <c r="AC79" s="28"/>
      <c r="AD79" s="25" t="s">
        <v>63</v>
      </c>
      <c r="AE79" s="14"/>
      <c r="AF79" s="14"/>
      <c r="AG79" s="14"/>
      <c r="AH79" s="14"/>
      <c r="AI79" s="14"/>
      <c r="AJ79" s="14"/>
      <c r="AK79" s="14"/>
      <c r="AL79" s="14"/>
      <c r="AM79" s="14"/>
    </row>
    <row r="80" ht="39.0" customHeight="1">
      <c r="A80" s="19" t="s">
        <v>358</v>
      </c>
      <c r="B80" s="19" t="s">
        <v>359</v>
      </c>
      <c r="C80" s="19" t="s">
        <v>360</v>
      </c>
      <c r="D80" s="19" t="s">
        <v>361</v>
      </c>
      <c r="E80" s="19" t="s">
        <v>43</v>
      </c>
      <c r="F80" s="19" t="s">
        <v>362</v>
      </c>
      <c r="G80" s="19" t="s">
        <v>45</v>
      </c>
      <c r="H80" s="19" t="s">
        <v>363</v>
      </c>
      <c r="I80" s="20" t="s">
        <v>364</v>
      </c>
      <c r="J80" s="19" t="s">
        <v>282</v>
      </c>
      <c r="K80" s="19" t="s">
        <v>49</v>
      </c>
      <c r="L80" s="19" t="s">
        <v>50</v>
      </c>
      <c r="M80" s="19" t="s">
        <v>51</v>
      </c>
      <c r="N80" s="19" t="s">
        <v>51</v>
      </c>
      <c r="O80" s="19" t="s">
        <v>293</v>
      </c>
      <c r="P80" s="21" t="s">
        <v>53</v>
      </c>
      <c r="Q80" s="22">
        <v>0.02361111111111111</v>
      </c>
      <c r="R80" s="13">
        <v>0.0</v>
      </c>
      <c r="S80" s="13">
        <f t="shared" si="16"/>
        <v>0.02361111111</v>
      </c>
      <c r="T80" s="19" t="s">
        <v>54</v>
      </c>
      <c r="U80" s="19" t="s">
        <v>72</v>
      </c>
      <c r="V80" s="13">
        <f t="shared" si="1"/>
        <v>0.02361111111</v>
      </c>
      <c r="W80" s="19" t="s">
        <v>56</v>
      </c>
      <c r="X80" s="20" t="s">
        <v>57</v>
      </c>
      <c r="Y80" s="25" t="s">
        <v>248</v>
      </c>
      <c r="Z80" s="12"/>
      <c r="AA80" s="23"/>
      <c r="AB80" s="20" t="s">
        <v>45</v>
      </c>
      <c r="AC80" s="24"/>
      <c r="AD80" s="19" t="s">
        <v>365</v>
      </c>
      <c r="AE80" s="19" t="s">
        <v>62</v>
      </c>
      <c r="AF80" s="19" t="s">
        <v>63</v>
      </c>
      <c r="AG80" s="19" t="s">
        <v>366</v>
      </c>
      <c r="AH80" s="19" t="s">
        <v>367</v>
      </c>
      <c r="AI80" s="19" t="s">
        <v>295</v>
      </c>
      <c r="AJ80" s="19" t="s">
        <v>82</v>
      </c>
      <c r="AK80" s="12"/>
      <c r="AL80" s="12"/>
      <c r="AM80" s="12"/>
    </row>
    <row r="81" ht="39.0" customHeight="1">
      <c r="A81" s="25" t="s">
        <v>358</v>
      </c>
      <c r="B81" s="25" t="s">
        <v>359</v>
      </c>
      <c r="C81" s="25" t="s">
        <v>360</v>
      </c>
      <c r="D81" s="25" t="s">
        <v>361</v>
      </c>
      <c r="E81" s="25" t="s">
        <v>43</v>
      </c>
      <c r="F81" s="25" t="s">
        <v>362</v>
      </c>
      <c r="G81" s="25" t="s">
        <v>45</v>
      </c>
      <c r="H81" s="25" t="s">
        <v>363</v>
      </c>
      <c r="I81" s="26" t="s">
        <v>364</v>
      </c>
      <c r="J81" s="25" t="s">
        <v>282</v>
      </c>
      <c r="K81" s="25" t="s">
        <v>49</v>
      </c>
      <c r="L81" s="25" t="s">
        <v>50</v>
      </c>
      <c r="M81" s="25" t="s">
        <v>51</v>
      </c>
      <c r="N81" s="25" t="s">
        <v>51</v>
      </c>
      <c r="O81" s="25" t="s">
        <v>293</v>
      </c>
      <c r="P81" s="21" t="s">
        <v>53</v>
      </c>
      <c r="Q81" s="22">
        <v>0.02361111111111111</v>
      </c>
      <c r="R81" s="13">
        <v>0.0</v>
      </c>
      <c r="S81" s="15">
        <f>Q81+R81</f>
        <v>0.02361111111</v>
      </c>
      <c r="T81" s="14"/>
      <c r="U81" s="14"/>
      <c r="V81" s="13">
        <f t="shared" si="1"/>
        <v>0.02361111111</v>
      </c>
      <c r="W81" s="19" t="s">
        <v>56</v>
      </c>
      <c r="X81" s="20" t="s">
        <v>57</v>
      </c>
      <c r="Y81" s="25" t="s">
        <v>248</v>
      </c>
      <c r="Z81" s="14"/>
      <c r="AA81" s="27"/>
      <c r="AB81" s="26" t="s">
        <v>45</v>
      </c>
      <c r="AC81" s="28"/>
      <c r="AD81" s="25" t="s">
        <v>365</v>
      </c>
      <c r="AE81" s="25" t="s">
        <v>62</v>
      </c>
      <c r="AF81" s="25" t="s">
        <v>63</v>
      </c>
      <c r="AG81" s="25" t="s">
        <v>366</v>
      </c>
      <c r="AH81" s="25" t="s">
        <v>367</v>
      </c>
      <c r="AI81" s="25" t="s">
        <v>295</v>
      </c>
      <c r="AJ81" s="25" t="s">
        <v>82</v>
      </c>
      <c r="AK81" s="14"/>
      <c r="AL81" s="14"/>
      <c r="AM81" s="14"/>
    </row>
    <row r="82" ht="104.25" customHeight="1">
      <c r="A82" s="19" t="s">
        <v>368</v>
      </c>
      <c r="B82" s="12"/>
      <c r="C82" s="19" t="s">
        <v>369</v>
      </c>
      <c r="D82" s="19" t="s">
        <v>370</v>
      </c>
      <c r="E82" s="19" t="s">
        <v>43</v>
      </c>
      <c r="F82" s="19" t="s">
        <v>371</v>
      </c>
      <c r="G82" s="19" t="s">
        <v>45</v>
      </c>
      <c r="H82" s="19" t="s">
        <v>372</v>
      </c>
      <c r="I82" s="20" t="s">
        <v>373</v>
      </c>
      <c r="J82" s="19" t="s">
        <v>282</v>
      </c>
      <c r="K82" s="19" t="s">
        <v>49</v>
      </c>
      <c r="L82" s="19" t="s">
        <v>50</v>
      </c>
      <c r="M82" s="19" t="s">
        <v>51</v>
      </c>
      <c r="N82" s="19" t="s">
        <v>51</v>
      </c>
      <c r="O82" s="19" t="s">
        <v>172</v>
      </c>
      <c r="P82" s="21" t="s">
        <v>53</v>
      </c>
      <c r="Q82" s="22">
        <v>0.02361111111111111</v>
      </c>
      <c r="R82" s="13">
        <v>0.0</v>
      </c>
      <c r="S82" s="13">
        <f>TIMEVALUE(Q82+R82)</f>
        <v>0.02361111111</v>
      </c>
      <c r="T82" s="19" t="s">
        <v>118</v>
      </c>
      <c r="U82" s="19" t="s">
        <v>72</v>
      </c>
      <c r="V82" s="13">
        <f t="shared" si="1"/>
        <v>0.02361111111</v>
      </c>
      <c r="W82" s="19" t="s">
        <v>56</v>
      </c>
      <c r="X82" s="20" t="s">
        <v>57</v>
      </c>
      <c r="Y82" s="25" t="s">
        <v>248</v>
      </c>
      <c r="Z82" s="12"/>
      <c r="AA82" s="23"/>
      <c r="AB82" s="20" t="s">
        <v>45</v>
      </c>
      <c r="AC82" s="24"/>
      <c r="AD82" s="19" t="s">
        <v>240</v>
      </c>
      <c r="AE82" s="19" t="s">
        <v>155</v>
      </c>
      <c r="AF82" s="19" t="s">
        <v>63</v>
      </c>
      <c r="AG82" s="12"/>
      <c r="AH82" s="12"/>
      <c r="AI82" s="12"/>
      <c r="AJ82" s="12"/>
      <c r="AK82" s="12"/>
      <c r="AL82" s="12"/>
      <c r="AM82" s="12"/>
    </row>
    <row r="83" ht="104.25" customHeight="1">
      <c r="A83" s="25" t="s">
        <v>368</v>
      </c>
      <c r="B83" s="14"/>
      <c r="C83" s="25" t="s">
        <v>369</v>
      </c>
      <c r="D83" s="25" t="s">
        <v>370</v>
      </c>
      <c r="E83" s="25" t="s">
        <v>43</v>
      </c>
      <c r="F83" s="25" t="s">
        <v>371</v>
      </c>
      <c r="G83" s="25" t="s">
        <v>45</v>
      </c>
      <c r="H83" s="25" t="s">
        <v>372</v>
      </c>
      <c r="I83" s="26" t="s">
        <v>373</v>
      </c>
      <c r="J83" s="25" t="s">
        <v>282</v>
      </c>
      <c r="K83" s="25" t="s">
        <v>49</v>
      </c>
      <c r="L83" s="25" t="s">
        <v>50</v>
      </c>
      <c r="M83" s="25" t="s">
        <v>51</v>
      </c>
      <c r="N83" s="25" t="s">
        <v>51</v>
      </c>
      <c r="O83" s="25" t="s">
        <v>172</v>
      </c>
      <c r="P83" s="21" t="s">
        <v>53</v>
      </c>
      <c r="Q83" s="22">
        <v>0.02361111111111111</v>
      </c>
      <c r="R83" s="13">
        <v>0.0</v>
      </c>
      <c r="S83" s="15">
        <f>Q83+R83</f>
        <v>0.02361111111</v>
      </c>
      <c r="T83" s="14"/>
      <c r="U83" s="14"/>
      <c r="V83" s="13">
        <f t="shared" si="1"/>
        <v>0.02361111111</v>
      </c>
      <c r="W83" s="19" t="s">
        <v>56</v>
      </c>
      <c r="X83" s="20" t="s">
        <v>57</v>
      </c>
      <c r="Y83" s="25" t="s">
        <v>248</v>
      </c>
      <c r="Z83" s="14"/>
      <c r="AA83" s="27"/>
      <c r="AB83" s="26" t="s">
        <v>45</v>
      </c>
      <c r="AC83" s="28"/>
      <c r="AD83" s="25" t="s">
        <v>240</v>
      </c>
      <c r="AE83" s="25" t="s">
        <v>155</v>
      </c>
      <c r="AF83" s="25" t="s">
        <v>63</v>
      </c>
      <c r="AG83" s="14"/>
      <c r="AH83" s="14"/>
      <c r="AI83" s="14"/>
      <c r="AJ83" s="14"/>
      <c r="AK83" s="14"/>
      <c r="AL83" s="14"/>
      <c r="AM83" s="14"/>
    </row>
    <row r="84" ht="52.5" customHeight="1">
      <c r="A84" s="19" t="s">
        <v>374</v>
      </c>
      <c r="B84" s="19" t="s">
        <v>375</v>
      </c>
      <c r="C84" s="19" t="s">
        <v>376</v>
      </c>
      <c r="D84" s="19" t="s">
        <v>377</v>
      </c>
      <c r="E84" s="19" t="s">
        <v>43</v>
      </c>
      <c r="F84" s="19" t="s">
        <v>378</v>
      </c>
      <c r="G84" s="19" t="s">
        <v>45</v>
      </c>
      <c r="H84" s="19" t="s">
        <v>379</v>
      </c>
      <c r="I84" s="20" t="s">
        <v>380</v>
      </c>
      <c r="J84" s="19" t="s">
        <v>282</v>
      </c>
      <c r="K84" s="19" t="s">
        <v>49</v>
      </c>
      <c r="L84" s="19" t="s">
        <v>50</v>
      </c>
      <c r="M84" s="19" t="s">
        <v>51</v>
      </c>
      <c r="N84" s="19" t="s">
        <v>51</v>
      </c>
      <c r="O84" s="19" t="s">
        <v>293</v>
      </c>
      <c r="P84" s="21" t="s">
        <v>53</v>
      </c>
      <c r="Q84" s="22">
        <v>0.02361111111111111</v>
      </c>
      <c r="R84" s="13">
        <v>0.0</v>
      </c>
      <c r="S84" s="13">
        <f t="shared" ref="S84:S85" si="17">TIMEVALUE(Q84+R84)</f>
        <v>0.02361111111</v>
      </c>
      <c r="T84" s="19" t="s">
        <v>381</v>
      </c>
      <c r="U84" s="19" t="s">
        <v>72</v>
      </c>
      <c r="V84" s="13">
        <f t="shared" si="1"/>
        <v>0.02361111111</v>
      </c>
      <c r="W84" s="19" t="s">
        <v>56</v>
      </c>
      <c r="X84" s="20" t="s">
        <v>57</v>
      </c>
      <c r="Y84" s="25" t="s">
        <v>248</v>
      </c>
      <c r="Z84" s="12"/>
      <c r="AA84" s="23"/>
      <c r="AB84" s="20" t="s">
        <v>45</v>
      </c>
      <c r="AC84" s="24"/>
      <c r="AD84" s="19" t="s">
        <v>382</v>
      </c>
      <c r="AE84" s="19" t="s">
        <v>155</v>
      </c>
      <c r="AF84" s="19" t="s">
        <v>63</v>
      </c>
      <c r="AG84" s="12"/>
      <c r="AH84" s="12"/>
      <c r="AI84" s="12"/>
      <c r="AJ84" s="12"/>
      <c r="AK84" s="12"/>
      <c r="AL84" s="12"/>
      <c r="AM84" s="12"/>
    </row>
    <row r="85" ht="52.5" customHeight="1">
      <c r="A85" s="25" t="s">
        <v>374</v>
      </c>
      <c r="B85" s="25" t="s">
        <v>375</v>
      </c>
      <c r="C85" s="25" t="s">
        <v>376</v>
      </c>
      <c r="D85" s="25" t="s">
        <v>377</v>
      </c>
      <c r="E85" s="25" t="s">
        <v>43</v>
      </c>
      <c r="F85" s="25" t="s">
        <v>378</v>
      </c>
      <c r="G85" s="25" t="s">
        <v>45</v>
      </c>
      <c r="H85" s="25" t="s">
        <v>379</v>
      </c>
      <c r="I85" s="26" t="s">
        <v>380</v>
      </c>
      <c r="J85" s="25" t="s">
        <v>282</v>
      </c>
      <c r="K85" s="25" t="s">
        <v>49</v>
      </c>
      <c r="L85" s="25" t="s">
        <v>50</v>
      </c>
      <c r="M85" s="25" t="s">
        <v>51</v>
      </c>
      <c r="N85" s="25" t="s">
        <v>51</v>
      </c>
      <c r="O85" s="25" t="s">
        <v>293</v>
      </c>
      <c r="P85" s="21" t="s">
        <v>53</v>
      </c>
      <c r="Q85" s="22">
        <v>0.02361111111111111</v>
      </c>
      <c r="R85" s="13">
        <v>0.0</v>
      </c>
      <c r="S85" s="13">
        <f t="shared" si="17"/>
        <v>0.02361111111</v>
      </c>
      <c r="T85" s="14"/>
      <c r="U85" s="14"/>
      <c r="V85" s="13">
        <f t="shared" si="1"/>
        <v>0.02361111111</v>
      </c>
      <c r="W85" s="19" t="s">
        <v>56</v>
      </c>
      <c r="X85" s="20" t="s">
        <v>57</v>
      </c>
      <c r="Y85" s="25" t="s">
        <v>248</v>
      </c>
      <c r="Z85" s="14"/>
      <c r="AA85" s="27"/>
      <c r="AB85" s="26" t="s">
        <v>45</v>
      </c>
      <c r="AC85" s="28"/>
      <c r="AD85" s="25" t="s">
        <v>382</v>
      </c>
      <c r="AE85" s="25" t="s">
        <v>155</v>
      </c>
      <c r="AF85" s="25" t="s">
        <v>63</v>
      </c>
      <c r="AG85" s="14"/>
      <c r="AH85" s="14"/>
      <c r="AI85" s="14"/>
      <c r="AJ85" s="14"/>
      <c r="AK85" s="14"/>
      <c r="AL85" s="14"/>
      <c r="AM85" s="14"/>
    </row>
    <row r="86" ht="52.5" customHeight="1">
      <c r="A86" s="25" t="s">
        <v>383</v>
      </c>
      <c r="B86" s="14"/>
      <c r="C86" s="25" t="s">
        <v>384</v>
      </c>
      <c r="D86" s="25" t="s">
        <v>385</v>
      </c>
      <c r="E86" s="25" t="s">
        <v>43</v>
      </c>
      <c r="F86" s="25" t="s">
        <v>386</v>
      </c>
      <c r="G86" s="25" t="s">
        <v>45</v>
      </c>
      <c r="H86" s="25" t="s">
        <v>387</v>
      </c>
      <c r="I86" s="26" t="s">
        <v>388</v>
      </c>
      <c r="J86" s="25" t="s">
        <v>282</v>
      </c>
      <c r="K86" s="25" t="s">
        <v>49</v>
      </c>
      <c r="L86" s="25" t="s">
        <v>50</v>
      </c>
      <c r="M86" s="25" t="s">
        <v>51</v>
      </c>
      <c r="N86" s="25" t="s">
        <v>51</v>
      </c>
      <c r="O86" s="25" t="s">
        <v>293</v>
      </c>
      <c r="P86" s="21" t="s">
        <v>53</v>
      </c>
      <c r="Q86" s="22">
        <v>0.02361111111111111</v>
      </c>
      <c r="R86" s="13">
        <v>0.013888888888888888</v>
      </c>
      <c r="S86" s="15">
        <f>Q86+R86</f>
        <v>0.0375</v>
      </c>
      <c r="T86" s="25" t="s">
        <v>381</v>
      </c>
      <c r="U86" s="25" t="s">
        <v>72</v>
      </c>
      <c r="V86" s="13">
        <f t="shared" si="1"/>
        <v>0.0375</v>
      </c>
      <c r="W86" s="19" t="s">
        <v>56</v>
      </c>
      <c r="X86" s="20" t="s">
        <v>57</v>
      </c>
      <c r="Y86" s="25" t="s">
        <v>248</v>
      </c>
      <c r="Z86" s="14"/>
      <c r="AA86" s="27"/>
      <c r="AB86" s="26" t="s">
        <v>45</v>
      </c>
      <c r="AC86" s="28"/>
      <c r="AD86" s="25" t="s">
        <v>63</v>
      </c>
      <c r="AE86" s="25" t="s">
        <v>295</v>
      </c>
      <c r="AF86" s="25" t="s">
        <v>85</v>
      </c>
      <c r="AG86" s="14"/>
      <c r="AH86" s="14"/>
      <c r="AI86" s="14"/>
      <c r="AJ86" s="14"/>
      <c r="AK86" s="14"/>
      <c r="AL86" s="14"/>
      <c r="AM86" s="14"/>
    </row>
    <row r="87" ht="52.5" customHeight="1">
      <c r="A87" s="19" t="s">
        <v>383</v>
      </c>
      <c r="B87" s="12"/>
      <c r="C87" s="19" t="s">
        <v>384</v>
      </c>
      <c r="D87" s="19" t="s">
        <v>385</v>
      </c>
      <c r="E87" s="19" t="s">
        <v>43</v>
      </c>
      <c r="F87" s="19" t="s">
        <v>386</v>
      </c>
      <c r="G87" s="19" t="s">
        <v>45</v>
      </c>
      <c r="H87" s="19" t="s">
        <v>387</v>
      </c>
      <c r="I87" s="20" t="s">
        <v>388</v>
      </c>
      <c r="J87" s="19" t="s">
        <v>282</v>
      </c>
      <c r="K87" s="19" t="s">
        <v>49</v>
      </c>
      <c r="L87" s="19" t="s">
        <v>50</v>
      </c>
      <c r="M87" s="19" t="s">
        <v>51</v>
      </c>
      <c r="N87" s="19" t="s">
        <v>51</v>
      </c>
      <c r="O87" s="19" t="s">
        <v>293</v>
      </c>
      <c r="P87" s="21" t="s">
        <v>53</v>
      </c>
      <c r="Q87" s="22">
        <v>0.02361111111111111</v>
      </c>
      <c r="R87" s="13">
        <v>0.013888888888888888</v>
      </c>
      <c r="S87" s="13">
        <f>TIMEVALUE(Q87+R87)</f>
        <v>0.0375</v>
      </c>
      <c r="T87" s="12"/>
      <c r="U87" s="12"/>
      <c r="V87" s="13">
        <f t="shared" si="1"/>
        <v>0.0375</v>
      </c>
      <c r="W87" s="19" t="s">
        <v>56</v>
      </c>
      <c r="X87" s="20" t="s">
        <v>57</v>
      </c>
      <c r="Y87" s="25" t="s">
        <v>248</v>
      </c>
      <c r="Z87" s="12"/>
      <c r="AA87" s="23"/>
      <c r="AB87" s="20" t="s">
        <v>45</v>
      </c>
      <c r="AC87" s="24"/>
      <c r="AD87" s="19" t="s">
        <v>63</v>
      </c>
      <c r="AE87" s="19" t="s">
        <v>295</v>
      </c>
      <c r="AF87" s="19" t="s">
        <v>85</v>
      </c>
      <c r="AG87" s="12"/>
      <c r="AH87" s="12"/>
      <c r="AI87" s="12"/>
      <c r="AJ87" s="12"/>
      <c r="AK87" s="12"/>
      <c r="AL87" s="12"/>
      <c r="AM87" s="12"/>
    </row>
    <row r="88" ht="39.0" customHeight="1">
      <c r="A88" s="25" t="s">
        <v>234</v>
      </c>
      <c r="B88" s="25" t="s">
        <v>389</v>
      </c>
      <c r="C88" s="25" t="s">
        <v>306</v>
      </c>
      <c r="D88" s="25" t="s">
        <v>390</v>
      </c>
      <c r="E88" s="25" t="s">
        <v>43</v>
      </c>
      <c r="F88" s="25" t="s">
        <v>391</v>
      </c>
      <c r="G88" s="25" t="s">
        <v>45</v>
      </c>
      <c r="H88" s="25" t="s">
        <v>392</v>
      </c>
      <c r="I88" s="26" t="s">
        <v>71</v>
      </c>
      <c r="J88" s="25" t="s">
        <v>282</v>
      </c>
      <c r="K88" s="25" t="s">
        <v>49</v>
      </c>
      <c r="L88" s="25" t="s">
        <v>50</v>
      </c>
      <c r="M88" s="25" t="s">
        <v>51</v>
      </c>
      <c r="N88" s="25" t="s">
        <v>51</v>
      </c>
      <c r="O88" s="25" t="s">
        <v>293</v>
      </c>
      <c r="P88" s="21" t="s">
        <v>53</v>
      </c>
      <c r="Q88" s="22">
        <v>0.02361111111111111</v>
      </c>
      <c r="R88" s="13">
        <v>0.013888888888888888</v>
      </c>
      <c r="S88" s="15">
        <f>Q88+R88</f>
        <v>0.0375</v>
      </c>
      <c r="T88" s="25" t="s">
        <v>118</v>
      </c>
      <c r="U88" s="25" t="s">
        <v>72</v>
      </c>
      <c r="V88" s="13">
        <f t="shared" si="1"/>
        <v>0.0375</v>
      </c>
      <c r="W88" s="19" t="s">
        <v>56</v>
      </c>
      <c r="X88" s="20" t="s">
        <v>57</v>
      </c>
      <c r="Y88" s="25" t="s">
        <v>248</v>
      </c>
      <c r="Z88" s="14"/>
      <c r="AA88" s="27"/>
      <c r="AB88" s="26" t="s">
        <v>45</v>
      </c>
      <c r="AC88" s="28"/>
      <c r="AD88" s="25" t="s">
        <v>63</v>
      </c>
      <c r="AE88" s="14"/>
      <c r="AF88" s="14"/>
      <c r="AG88" s="14"/>
      <c r="AH88" s="14"/>
      <c r="AI88" s="14"/>
      <c r="AJ88" s="14"/>
      <c r="AK88" s="14"/>
      <c r="AL88" s="14"/>
      <c r="AM88" s="14"/>
    </row>
    <row r="89" ht="39.0" customHeight="1">
      <c r="A89" s="19" t="s">
        <v>234</v>
      </c>
      <c r="B89" s="19" t="s">
        <v>389</v>
      </c>
      <c r="C89" s="19" t="s">
        <v>306</v>
      </c>
      <c r="D89" s="19" t="s">
        <v>390</v>
      </c>
      <c r="E89" s="19" t="s">
        <v>43</v>
      </c>
      <c r="F89" s="19" t="s">
        <v>391</v>
      </c>
      <c r="G89" s="19" t="s">
        <v>45</v>
      </c>
      <c r="H89" s="19" t="s">
        <v>392</v>
      </c>
      <c r="I89" s="20" t="s">
        <v>71</v>
      </c>
      <c r="J89" s="19" t="s">
        <v>282</v>
      </c>
      <c r="K89" s="19" t="s">
        <v>49</v>
      </c>
      <c r="L89" s="19" t="s">
        <v>50</v>
      </c>
      <c r="M89" s="19" t="s">
        <v>51</v>
      </c>
      <c r="N89" s="19" t="s">
        <v>51</v>
      </c>
      <c r="O89" s="19" t="s">
        <v>293</v>
      </c>
      <c r="P89" s="21" t="s">
        <v>53</v>
      </c>
      <c r="Q89" s="22">
        <v>0.02361111111111111</v>
      </c>
      <c r="R89" s="13">
        <v>0.013888888888888888</v>
      </c>
      <c r="S89" s="13">
        <f t="shared" ref="S89:S90" si="18">TIMEVALUE(Q89+R89)</f>
        <v>0.0375</v>
      </c>
      <c r="T89" s="12"/>
      <c r="U89" s="12"/>
      <c r="V89" s="13">
        <f t="shared" si="1"/>
        <v>0.0375</v>
      </c>
      <c r="W89" s="19" t="s">
        <v>56</v>
      </c>
      <c r="X89" s="20" t="s">
        <v>57</v>
      </c>
      <c r="Y89" s="25" t="s">
        <v>248</v>
      </c>
      <c r="Z89" s="12"/>
      <c r="AA89" s="23"/>
      <c r="AB89" s="20" t="s">
        <v>45</v>
      </c>
      <c r="AC89" s="24"/>
      <c r="AD89" s="19" t="s">
        <v>63</v>
      </c>
      <c r="AE89" s="12"/>
      <c r="AF89" s="12"/>
      <c r="AG89" s="12"/>
      <c r="AH89" s="12"/>
      <c r="AI89" s="12"/>
      <c r="AJ89" s="12"/>
      <c r="AK89" s="12"/>
      <c r="AL89" s="12"/>
      <c r="AM89" s="12"/>
    </row>
    <row r="90" ht="52.5" customHeight="1">
      <c r="A90" s="19" t="s">
        <v>234</v>
      </c>
      <c r="B90" s="12"/>
      <c r="C90" s="19" t="s">
        <v>393</v>
      </c>
      <c r="D90" s="19" t="s">
        <v>394</v>
      </c>
      <c r="E90" s="19" t="s">
        <v>43</v>
      </c>
      <c r="F90" s="19" t="s">
        <v>395</v>
      </c>
      <c r="G90" s="19" t="s">
        <v>45</v>
      </c>
      <c r="H90" s="19" t="s">
        <v>396</v>
      </c>
      <c r="I90" s="24"/>
      <c r="J90" s="19" t="s">
        <v>282</v>
      </c>
      <c r="K90" s="19" t="s">
        <v>49</v>
      </c>
      <c r="L90" s="19" t="s">
        <v>50</v>
      </c>
      <c r="M90" s="19" t="s">
        <v>51</v>
      </c>
      <c r="N90" s="19" t="s">
        <v>51</v>
      </c>
      <c r="O90" s="19" t="s">
        <v>172</v>
      </c>
      <c r="P90" s="21" t="s">
        <v>53</v>
      </c>
      <c r="Q90" s="22">
        <v>0.02361111111111111</v>
      </c>
      <c r="R90" s="13">
        <v>0.013888888888888888</v>
      </c>
      <c r="S90" s="13">
        <f t="shared" si="18"/>
        <v>0.0375</v>
      </c>
      <c r="T90" s="19" t="s">
        <v>118</v>
      </c>
      <c r="U90" s="19" t="s">
        <v>72</v>
      </c>
      <c r="V90" s="13">
        <f t="shared" si="1"/>
        <v>0.0375</v>
      </c>
      <c r="W90" s="19" t="s">
        <v>56</v>
      </c>
      <c r="X90" s="20" t="s">
        <v>57</v>
      </c>
      <c r="Y90" s="25" t="s">
        <v>248</v>
      </c>
      <c r="Z90" s="12"/>
      <c r="AA90" s="23"/>
      <c r="AB90" s="20" t="s">
        <v>45</v>
      </c>
      <c r="AC90" s="24"/>
      <c r="AD90" s="19" t="s">
        <v>155</v>
      </c>
      <c r="AE90" s="19" t="s">
        <v>63</v>
      </c>
      <c r="AF90" s="12"/>
      <c r="AG90" s="12"/>
      <c r="AH90" s="12"/>
      <c r="AI90" s="12"/>
      <c r="AJ90" s="12"/>
      <c r="AK90" s="12"/>
      <c r="AL90" s="12"/>
      <c r="AM90" s="12"/>
    </row>
    <row r="91" ht="39.0" customHeight="1">
      <c r="A91" s="25" t="s">
        <v>234</v>
      </c>
      <c r="B91" s="14"/>
      <c r="C91" s="25" t="s">
        <v>393</v>
      </c>
      <c r="D91" s="25" t="s">
        <v>394</v>
      </c>
      <c r="E91" s="25" t="s">
        <v>43</v>
      </c>
      <c r="F91" s="25" t="s">
        <v>395</v>
      </c>
      <c r="G91" s="25" t="s">
        <v>45</v>
      </c>
      <c r="H91" s="25" t="s">
        <v>396</v>
      </c>
      <c r="I91" s="28"/>
      <c r="J91" s="25" t="s">
        <v>282</v>
      </c>
      <c r="K91" s="25" t="s">
        <v>49</v>
      </c>
      <c r="L91" s="25" t="s">
        <v>50</v>
      </c>
      <c r="M91" s="25" t="s">
        <v>51</v>
      </c>
      <c r="N91" s="25" t="s">
        <v>51</v>
      </c>
      <c r="O91" s="25" t="s">
        <v>172</v>
      </c>
      <c r="P91" s="21" t="s">
        <v>53</v>
      </c>
      <c r="Q91" s="22">
        <v>0.02361111111111111</v>
      </c>
      <c r="R91" s="13">
        <v>0.013888888888888888</v>
      </c>
      <c r="S91" s="15">
        <f>Q91+R91</f>
        <v>0.0375</v>
      </c>
      <c r="T91" s="14"/>
      <c r="U91" s="14"/>
      <c r="V91" s="13">
        <f t="shared" si="1"/>
        <v>0.0375</v>
      </c>
      <c r="W91" s="19" t="s">
        <v>56</v>
      </c>
      <c r="X91" s="20" t="s">
        <v>57</v>
      </c>
      <c r="Y91" s="25" t="s">
        <v>248</v>
      </c>
      <c r="Z91" s="14"/>
      <c r="AA91" s="27"/>
      <c r="AB91" s="26" t="s">
        <v>45</v>
      </c>
      <c r="AC91" s="28"/>
      <c r="AD91" s="19" t="s">
        <v>155</v>
      </c>
      <c r="AE91" s="19" t="s">
        <v>63</v>
      </c>
      <c r="AF91" s="14"/>
      <c r="AG91" s="14"/>
      <c r="AH91" s="14"/>
      <c r="AI91" s="14"/>
      <c r="AJ91" s="14"/>
      <c r="AK91" s="14"/>
      <c r="AL91" s="14"/>
      <c r="AM91" s="14"/>
    </row>
    <row r="92" ht="39.0" customHeight="1">
      <c r="A92" s="19" t="s">
        <v>234</v>
      </c>
      <c r="B92" s="19" t="s">
        <v>397</v>
      </c>
      <c r="C92" s="19" t="s">
        <v>398</v>
      </c>
      <c r="D92" s="19" t="s">
        <v>399</v>
      </c>
      <c r="E92" s="19" t="s">
        <v>43</v>
      </c>
      <c r="F92" s="19" t="s">
        <v>400</v>
      </c>
      <c r="G92" s="19" t="s">
        <v>45</v>
      </c>
      <c r="H92" s="19" t="s">
        <v>401</v>
      </c>
      <c r="I92" s="20" t="s">
        <v>402</v>
      </c>
      <c r="J92" s="19" t="s">
        <v>282</v>
      </c>
      <c r="K92" s="19" t="s">
        <v>49</v>
      </c>
      <c r="L92" s="19" t="s">
        <v>50</v>
      </c>
      <c r="M92" s="19" t="s">
        <v>51</v>
      </c>
      <c r="N92" s="19" t="s">
        <v>51</v>
      </c>
      <c r="O92" s="19" t="s">
        <v>293</v>
      </c>
      <c r="P92" s="21" t="s">
        <v>53</v>
      </c>
      <c r="Q92" s="22">
        <v>0.02361111111111111</v>
      </c>
      <c r="R92" s="13">
        <v>0.013888888888888888</v>
      </c>
      <c r="S92" s="13">
        <f>TIMEVALUE(Q92+R92)</f>
        <v>0.0375</v>
      </c>
      <c r="T92" s="19" t="s">
        <v>118</v>
      </c>
      <c r="U92" s="19" t="s">
        <v>72</v>
      </c>
      <c r="V92" s="13">
        <f t="shared" si="1"/>
        <v>0.0375</v>
      </c>
      <c r="W92" s="19" t="s">
        <v>56</v>
      </c>
      <c r="X92" s="20" t="s">
        <v>57</v>
      </c>
      <c r="Y92" s="25" t="s">
        <v>248</v>
      </c>
      <c r="Z92" s="12"/>
      <c r="AA92" s="23"/>
      <c r="AB92" s="20" t="s">
        <v>45</v>
      </c>
      <c r="AC92" s="24"/>
      <c r="AD92" s="19" t="s">
        <v>403</v>
      </c>
      <c r="AE92" s="19" t="s">
        <v>404</v>
      </c>
      <c r="AF92" s="19" t="s">
        <v>405</v>
      </c>
      <c r="AG92" s="19" t="s">
        <v>406</v>
      </c>
      <c r="AH92" s="19" t="s">
        <v>63</v>
      </c>
      <c r="AI92" s="19" t="s">
        <v>407</v>
      </c>
      <c r="AJ92" s="19" t="s">
        <v>408</v>
      </c>
      <c r="AK92" s="12"/>
      <c r="AL92" s="12"/>
      <c r="AM92" s="12"/>
    </row>
    <row r="93" ht="39.0" customHeight="1">
      <c r="A93" s="25" t="s">
        <v>234</v>
      </c>
      <c r="B93" s="25" t="s">
        <v>397</v>
      </c>
      <c r="C93" s="25" t="s">
        <v>398</v>
      </c>
      <c r="D93" s="25" t="s">
        <v>399</v>
      </c>
      <c r="E93" s="25" t="s">
        <v>43</v>
      </c>
      <c r="F93" s="25" t="s">
        <v>400</v>
      </c>
      <c r="G93" s="25" t="s">
        <v>45</v>
      </c>
      <c r="H93" s="25" t="s">
        <v>401</v>
      </c>
      <c r="I93" s="26" t="s">
        <v>402</v>
      </c>
      <c r="J93" s="25" t="s">
        <v>282</v>
      </c>
      <c r="K93" s="25" t="s">
        <v>49</v>
      </c>
      <c r="L93" s="25" t="s">
        <v>50</v>
      </c>
      <c r="M93" s="25" t="s">
        <v>51</v>
      </c>
      <c r="N93" s="25" t="s">
        <v>51</v>
      </c>
      <c r="O93" s="25" t="s">
        <v>293</v>
      </c>
      <c r="P93" s="21" t="s">
        <v>53</v>
      </c>
      <c r="Q93" s="22">
        <v>0.02361111111111111</v>
      </c>
      <c r="R93" s="13">
        <v>0.013888888888888888</v>
      </c>
      <c r="S93" s="15">
        <f>Q93+R93</f>
        <v>0.0375</v>
      </c>
      <c r="T93" s="14"/>
      <c r="U93" s="14"/>
      <c r="V93" s="13">
        <f t="shared" si="1"/>
        <v>0.0375</v>
      </c>
      <c r="W93" s="19" t="s">
        <v>56</v>
      </c>
      <c r="X93" s="20" t="s">
        <v>57</v>
      </c>
      <c r="Y93" s="25" t="s">
        <v>248</v>
      </c>
      <c r="Z93" s="14"/>
      <c r="AA93" s="27"/>
      <c r="AB93" s="26" t="s">
        <v>45</v>
      </c>
      <c r="AC93" s="28"/>
      <c r="AD93" s="25" t="s">
        <v>403</v>
      </c>
      <c r="AE93" s="25" t="s">
        <v>404</v>
      </c>
      <c r="AF93" s="25" t="s">
        <v>405</v>
      </c>
      <c r="AG93" s="25" t="s">
        <v>406</v>
      </c>
      <c r="AH93" s="25" t="s">
        <v>63</v>
      </c>
      <c r="AI93" s="25" t="s">
        <v>407</v>
      </c>
      <c r="AJ93" s="25" t="s">
        <v>408</v>
      </c>
      <c r="AK93" s="14"/>
      <c r="AL93" s="14"/>
      <c r="AM93" s="14"/>
    </row>
    <row r="94" ht="39.0" customHeight="1">
      <c r="A94" s="19" t="s">
        <v>409</v>
      </c>
      <c r="B94" s="12"/>
      <c r="C94" s="19" t="s">
        <v>410</v>
      </c>
      <c r="D94" s="19" t="s">
        <v>411</v>
      </c>
      <c r="E94" s="19" t="s">
        <v>43</v>
      </c>
      <c r="F94" s="19" t="s">
        <v>412</v>
      </c>
      <c r="G94" s="19" t="s">
        <v>45</v>
      </c>
      <c r="H94" s="19" t="s">
        <v>413</v>
      </c>
      <c r="I94" s="20" t="s">
        <v>414</v>
      </c>
      <c r="J94" s="19" t="s">
        <v>282</v>
      </c>
      <c r="K94" s="19" t="s">
        <v>49</v>
      </c>
      <c r="L94" s="19" t="s">
        <v>50</v>
      </c>
      <c r="M94" s="19" t="s">
        <v>51</v>
      </c>
      <c r="N94" s="19" t="s">
        <v>51</v>
      </c>
      <c r="O94" s="19" t="s">
        <v>293</v>
      </c>
      <c r="P94" s="21" t="s">
        <v>53</v>
      </c>
      <c r="Q94" s="22">
        <v>0.02361111111111111</v>
      </c>
      <c r="R94" s="13">
        <v>0.013888888888888888</v>
      </c>
      <c r="S94" s="13">
        <f t="shared" ref="S94:S95" si="19">TIMEVALUE(Q94+R94)</f>
        <v>0.0375</v>
      </c>
      <c r="T94" s="19" t="s">
        <v>415</v>
      </c>
      <c r="U94" s="19" t="s">
        <v>55</v>
      </c>
      <c r="V94" s="13">
        <f t="shared" si="1"/>
        <v>0.0375</v>
      </c>
      <c r="W94" s="19" t="s">
        <v>56</v>
      </c>
      <c r="X94" s="20" t="s">
        <v>57</v>
      </c>
      <c r="Y94" s="25" t="s">
        <v>248</v>
      </c>
      <c r="Z94" s="12"/>
      <c r="AA94" s="23"/>
      <c r="AB94" s="20" t="s">
        <v>45</v>
      </c>
      <c r="AC94" s="24"/>
      <c r="AD94" s="19" t="s">
        <v>416</v>
      </c>
      <c r="AE94" s="19" t="s">
        <v>417</v>
      </c>
      <c r="AF94" s="19" t="s">
        <v>63</v>
      </c>
      <c r="AG94" s="19" t="s">
        <v>418</v>
      </c>
      <c r="AH94" s="12"/>
      <c r="AI94" s="12"/>
      <c r="AJ94" s="12"/>
      <c r="AK94" s="12"/>
      <c r="AL94" s="12"/>
      <c r="AM94" s="12"/>
    </row>
    <row r="95" ht="39.0" customHeight="1">
      <c r="A95" s="25" t="s">
        <v>409</v>
      </c>
      <c r="B95" s="14"/>
      <c r="C95" s="25" t="s">
        <v>410</v>
      </c>
      <c r="D95" s="25" t="s">
        <v>411</v>
      </c>
      <c r="E95" s="25" t="s">
        <v>43</v>
      </c>
      <c r="F95" s="25" t="s">
        <v>412</v>
      </c>
      <c r="G95" s="25" t="s">
        <v>45</v>
      </c>
      <c r="H95" s="25" t="s">
        <v>413</v>
      </c>
      <c r="I95" s="26" t="s">
        <v>414</v>
      </c>
      <c r="J95" s="25" t="s">
        <v>282</v>
      </c>
      <c r="K95" s="25" t="s">
        <v>49</v>
      </c>
      <c r="L95" s="25" t="s">
        <v>50</v>
      </c>
      <c r="M95" s="25" t="s">
        <v>51</v>
      </c>
      <c r="N95" s="25" t="s">
        <v>51</v>
      </c>
      <c r="O95" s="25" t="s">
        <v>293</v>
      </c>
      <c r="P95" s="21" t="s">
        <v>53</v>
      </c>
      <c r="Q95" s="22">
        <v>0.02361111111111111</v>
      </c>
      <c r="R95" s="13">
        <v>0.013888888888888888</v>
      </c>
      <c r="S95" s="13">
        <f t="shared" si="19"/>
        <v>0.0375</v>
      </c>
      <c r="T95" s="25" t="s">
        <v>419</v>
      </c>
      <c r="U95" s="25" t="s">
        <v>158</v>
      </c>
      <c r="V95" s="13">
        <f t="shared" si="1"/>
        <v>0.0375</v>
      </c>
      <c r="W95" s="19" t="s">
        <v>56</v>
      </c>
      <c r="X95" s="20" t="s">
        <v>57</v>
      </c>
      <c r="Y95" s="25" t="s">
        <v>248</v>
      </c>
      <c r="Z95" s="14"/>
      <c r="AA95" s="27"/>
      <c r="AB95" s="26" t="s">
        <v>45</v>
      </c>
      <c r="AC95" s="28"/>
      <c r="AD95" s="25" t="s">
        <v>416</v>
      </c>
      <c r="AE95" s="25" t="s">
        <v>417</v>
      </c>
      <c r="AF95" s="25" t="s">
        <v>63</v>
      </c>
      <c r="AG95" s="25" t="s">
        <v>418</v>
      </c>
      <c r="AH95" s="14"/>
      <c r="AI95" s="14"/>
      <c r="AJ95" s="14"/>
      <c r="AK95" s="14"/>
      <c r="AL95" s="14"/>
      <c r="AM95" s="14"/>
    </row>
    <row r="96" ht="39.0" customHeight="1">
      <c r="A96" s="19" t="s">
        <v>409</v>
      </c>
      <c r="B96" s="12"/>
      <c r="C96" s="19" t="s">
        <v>410</v>
      </c>
      <c r="D96" s="19" t="s">
        <v>411</v>
      </c>
      <c r="E96" s="19" t="s">
        <v>43</v>
      </c>
      <c r="F96" s="19" t="s">
        <v>412</v>
      </c>
      <c r="G96" s="19" t="s">
        <v>45</v>
      </c>
      <c r="H96" s="19" t="s">
        <v>413</v>
      </c>
      <c r="I96" s="20" t="s">
        <v>414</v>
      </c>
      <c r="J96" s="19" t="s">
        <v>282</v>
      </c>
      <c r="K96" s="19" t="s">
        <v>49</v>
      </c>
      <c r="L96" s="19" t="s">
        <v>50</v>
      </c>
      <c r="M96" s="19" t="s">
        <v>51</v>
      </c>
      <c r="N96" s="19" t="s">
        <v>51</v>
      </c>
      <c r="O96" s="19" t="s">
        <v>293</v>
      </c>
      <c r="P96" s="21" t="s">
        <v>53</v>
      </c>
      <c r="Q96" s="22">
        <v>0.02361111111111111</v>
      </c>
      <c r="R96" s="13">
        <v>0.013888888888888888</v>
      </c>
      <c r="S96" s="15">
        <f>Q96+R96</f>
        <v>0.0375</v>
      </c>
      <c r="T96" s="12"/>
      <c r="U96" s="12"/>
      <c r="V96" s="13">
        <f t="shared" si="1"/>
        <v>0.0375</v>
      </c>
      <c r="W96" s="19" t="s">
        <v>56</v>
      </c>
      <c r="X96" s="20" t="s">
        <v>57</v>
      </c>
      <c r="Y96" s="25" t="s">
        <v>248</v>
      </c>
      <c r="Z96" s="12"/>
      <c r="AA96" s="23"/>
      <c r="AB96" s="20" t="s">
        <v>45</v>
      </c>
      <c r="AC96" s="24"/>
      <c r="AD96" s="19" t="s">
        <v>416</v>
      </c>
      <c r="AE96" s="19" t="s">
        <v>417</v>
      </c>
      <c r="AF96" s="19" t="s">
        <v>63</v>
      </c>
      <c r="AG96" s="19" t="s">
        <v>418</v>
      </c>
      <c r="AH96" s="12"/>
      <c r="AI96" s="12"/>
      <c r="AJ96" s="12"/>
      <c r="AK96" s="12"/>
      <c r="AL96" s="12"/>
      <c r="AM96" s="12"/>
    </row>
    <row r="97" ht="26.25" customHeight="1">
      <c r="A97" s="25" t="s">
        <v>420</v>
      </c>
      <c r="B97" s="25" t="s">
        <v>421</v>
      </c>
      <c r="C97" s="25" t="s">
        <v>422</v>
      </c>
      <c r="D97" s="25" t="s">
        <v>423</v>
      </c>
      <c r="E97" s="25" t="s">
        <v>43</v>
      </c>
      <c r="F97" s="25" t="s">
        <v>424</v>
      </c>
      <c r="G97" s="25" t="s">
        <v>45</v>
      </c>
      <c r="H97" s="25" t="s">
        <v>425</v>
      </c>
      <c r="I97" s="26" t="s">
        <v>71</v>
      </c>
      <c r="J97" s="25" t="s">
        <v>282</v>
      </c>
      <c r="K97" s="25" t="s">
        <v>49</v>
      </c>
      <c r="L97" s="25" t="s">
        <v>50</v>
      </c>
      <c r="M97" s="25" t="s">
        <v>51</v>
      </c>
      <c r="N97" s="25" t="s">
        <v>51</v>
      </c>
      <c r="O97" s="25" t="s">
        <v>172</v>
      </c>
      <c r="P97" s="21" t="s">
        <v>53</v>
      </c>
      <c r="Q97" s="22">
        <v>0.02361111111111111</v>
      </c>
      <c r="R97" s="13">
        <v>0.013888888888888888</v>
      </c>
      <c r="S97" s="13">
        <f>TIMEVALUE(Q97+R97)</f>
        <v>0.0375</v>
      </c>
      <c r="T97" s="25" t="s">
        <v>118</v>
      </c>
      <c r="U97" s="25" t="s">
        <v>72</v>
      </c>
      <c r="V97" s="13">
        <f t="shared" si="1"/>
        <v>0.0375</v>
      </c>
      <c r="W97" s="19" t="s">
        <v>56</v>
      </c>
      <c r="X97" s="20" t="s">
        <v>57</v>
      </c>
      <c r="Y97" s="25" t="s">
        <v>248</v>
      </c>
      <c r="Z97" s="14"/>
      <c r="AA97" s="27"/>
      <c r="AB97" s="26" t="s">
        <v>45</v>
      </c>
      <c r="AC97" s="28"/>
      <c r="AD97" s="25" t="s">
        <v>63</v>
      </c>
      <c r="AE97" s="14"/>
      <c r="AF97" s="14"/>
      <c r="AG97" s="14"/>
      <c r="AH97" s="14"/>
      <c r="AI97" s="14"/>
      <c r="AJ97" s="14"/>
      <c r="AK97" s="14"/>
      <c r="AL97" s="14"/>
      <c r="AM97" s="14"/>
    </row>
    <row r="98" ht="91.5" customHeight="1">
      <c r="A98" s="19" t="s">
        <v>420</v>
      </c>
      <c r="B98" s="19" t="s">
        <v>421</v>
      </c>
      <c r="C98" s="19" t="s">
        <v>422</v>
      </c>
      <c r="D98" s="19" t="s">
        <v>423</v>
      </c>
      <c r="E98" s="19" t="s">
        <v>43</v>
      </c>
      <c r="F98" s="19" t="s">
        <v>424</v>
      </c>
      <c r="G98" s="19" t="s">
        <v>45</v>
      </c>
      <c r="H98" s="19" t="s">
        <v>425</v>
      </c>
      <c r="I98" s="20" t="s">
        <v>71</v>
      </c>
      <c r="J98" s="19" t="s">
        <v>282</v>
      </c>
      <c r="K98" s="19" t="s">
        <v>49</v>
      </c>
      <c r="L98" s="19" t="s">
        <v>50</v>
      </c>
      <c r="M98" s="19" t="s">
        <v>51</v>
      </c>
      <c r="N98" s="19" t="s">
        <v>51</v>
      </c>
      <c r="O98" s="19" t="s">
        <v>172</v>
      </c>
      <c r="P98" s="21" t="s">
        <v>53</v>
      </c>
      <c r="Q98" s="22">
        <v>0.02361111111111111</v>
      </c>
      <c r="R98" s="13">
        <v>0.013888888888888888</v>
      </c>
      <c r="S98" s="15">
        <f>Q98+R98</f>
        <v>0.0375</v>
      </c>
      <c r="T98" s="12"/>
      <c r="U98" s="12"/>
      <c r="V98" s="13">
        <f t="shared" si="1"/>
        <v>0.0375</v>
      </c>
      <c r="W98" s="19" t="s">
        <v>56</v>
      </c>
      <c r="X98" s="20" t="s">
        <v>57</v>
      </c>
      <c r="Y98" s="25" t="s">
        <v>248</v>
      </c>
      <c r="Z98" s="12"/>
      <c r="AA98" s="23"/>
      <c r="AB98" s="20" t="s">
        <v>45</v>
      </c>
      <c r="AC98" s="24"/>
      <c r="AD98" s="19" t="s">
        <v>63</v>
      </c>
      <c r="AE98" s="12"/>
      <c r="AF98" s="12"/>
      <c r="AG98" s="12"/>
      <c r="AH98" s="12"/>
      <c r="AI98" s="12"/>
      <c r="AJ98" s="12"/>
      <c r="AK98" s="12"/>
      <c r="AL98" s="12"/>
      <c r="AM98" s="12"/>
    </row>
    <row r="99" ht="91.5" customHeight="1">
      <c r="A99" s="19" t="s">
        <v>141</v>
      </c>
      <c r="B99" s="12"/>
      <c r="C99" s="19" t="s">
        <v>426</v>
      </c>
      <c r="D99" s="19" t="s">
        <v>427</v>
      </c>
      <c r="E99" s="19" t="s">
        <v>43</v>
      </c>
      <c r="F99" s="19" t="s">
        <v>428</v>
      </c>
      <c r="G99" s="19" t="s">
        <v>45</v>
      </c>
      <c r="H99" s="19" t="s">
        <v>429</v>
      </c>
      <c r="I99" s="20" t="s">
        <v>430</v>
      </c>
      <c r="J99" s="19" t="s">
        <v>282</v>
      </c>
      <c r="K99" s="19" t="s">
        <v>49</v>
      </c>
      <c r="L99" s="19" t="s">
        <v>50</v>
      </c>
      <c r="M99" s="19" t="s">
        <v>51</v>
      </c>
      <c r="N99" s="19" t="s">
        <v>51</v>
      </c>
      <c r="O99" s="19" t="s">
        <v>431</v>
      </c>
      <c r="P99" s="21" t="s">
        <v>53</v>
      </c>
      <c r="Q99" s="22">
        <v>0.02361111111111111</v>
      </c>
      <c r="R99" s="13">
        <v>0.013888888888888888</v>
      </c>
      <c r="S99" s="13">
        <f t="shared" ref="S99:S100" si="20">TIMEVALUE(Q99+R99)</f>
        <v>0.0375</v>
      </c>
      <c r="T99" s="12"/>
      <c r="U99" s="12"/>
      <c r="V99" s="13">
        <f t="shared" si="1"/>
        <v>0.0375</v>
      </c>
      <c r="W99" s="19" t="s">
        <v>56</v>
      </c>
      <c r="X99" s="20" t="s">
        <v>57</v>
      </c>
      <c r="Y99" s="25" t="s">
        <v>248</v>
      </c>
      <c r="Z99" s="12"/>
      <c r="AA99" s="23"/>
      <c r="AB99" s="20" t="s">
        <v>45</v>
      </c>
      <c r="AC99" s="24"/>
      <c r="AD99" s="19" t="s">
        <v>98</v>
      </c>
      <c r="AE99" s="19" t="s">
        <v>63</v>
      </c>
      <c r="AF99" s="19" t="s">
        <v>85</v>
      </c>
      <c r="AG99" s="12"/>
      <c r="AH99" s="12"/>
      <c r="AI99" s="12"/>
      <c r="AJ99" s="12"/>
      <c r="AK99" s="12"/>
      <c r="AL99" s="12"/>
      <c r="AM99" s="12"/>
    </row>
    <row r="100" ht="39.0" customHeight="1">
      <c r="A100" s="25" t="s">
        <v>141</v>
      </c>
      <c r="B100" s="14"/>
      <c r="C100" s="25" t="s">
        <v>432</v>
      </c>
      <c r="D100" s="25" t="s">
        <v>433</v>
      </c>
      <c r="E100" s="25" t="s">
        <v>43</v>
      </c>
      <c r="F100" s="25" t="s">
        <v>434</v>
      </c>
      <c r="G100" s="25" t="s">
        <v>45</v>
      </c>
      <c r="H100" s="25" t="s">
        <v>435</v>
      </c>
      <c r="I100" s="26" t="s">
        <v>436</v>
      </c>
      <c r="J100" s="25" t="s">
        <v>282</v>
      </c>
      <c r="K100" s="25" t="s">
        <v>49</v>
      </c>
      <c r="L100" s="25" t="s">
        <v>50</v>
      </c>
      <c r="M100" s="25" t="s">
        <v>51</v>
      </c>
      <c r="N100" s="25" t="s">
        <v>51</v>
      </c>
      <c r="O100" s="25" t="s">
        <v>172</v>
      </c>
      <c r="P100" s="21" t="s">
        <v>53</v>
      </c>
      <c r="Q100" s="22">
        <v>0.02361111111111111</v>
      </c>
      <c r="R100" s="13">
        <v>0.013888888888888888</v>
      </c>
      <c r="S100" s="13">
        <f t="shared" si="20"/>
        <v>0.0375</v>
      </c>
      <c r="T100" s="25" t="s">
        <v>118</v>
      </c>
      <c r="U100" s="25" t="s">
        <v>72</v>
      </c>
      <c r="V100" s="13">
        <f t="shared" si="1"/>
        <v>0.0375</v>
      </c>
      <c r="W100" s="19" t="s">
        <v>56</v>
      </c>
      <c r="X100" s="20" t="s">
        <v>57</v>
      </c>
      <c r="Y100" s="25" t="s">
        <v>248</v>
      </c>
      <c r="Z100" s="14"/>
      <c r="AA100" s="27"/>
      <c r="AB100" s="26" t="s">
        <v>45</v>
      </c>
      <c r="AC100" s="28"/>
      <c r="AD100" s="25" t="s">
        <v>437</v>
      </c>
      <c r="AE100" s="25" t="s">
        <v>438</v>
      </c>
      <c r="AF100" s="25" t="s">
        <v>63</v>
      </c>
      <c r="AG100" s="14"/>
      <c r="AH100" s="14"/>
      <c r="AI100" s="14"/>
      <c r="AJ100" s="14"/>
      <c r="AK100" s="14"/>
      <c r="AL100" s="14"/>
      <c r="AM100" s="14"/>
    </row>
    <row r="101" ht="39.0" customHeight="1">
      <c r="A101" s="19" t="s">
        <v>439</v>
      </c>
      <c r="B101" s="19" t="s">
        <v>298</v>
      </c>
      <c r="C101" s="19" t="s">
        <v>440</v>
      </c>
      <c r="D101" s="19" t="s">
        <v>441</v>
      </c>
      <c r="E101" s="19" t="s">
        <v>43</v>
      </c>
      <c r="F101" s="19" t="s">
        <v>442</v>
      </c>
      <c r="G101" s="19" t="s">
        <v>45</v>
      </c>
      <c r="H101" s="19" t="s">
        <v>443</v>
      </c>
      <c r="I101" s="20" t="s">
        <v>444</v>
      </c>
      <c r="J101" s="19" t="s">
        <v>282</v>
      </c>
      <c r="K101" s="19" t="s">
        <v>49</v>
      </c>
      <c r="L101" s="19" t="s">
        <v>50</v>
      </c>
      <c r="M101" s="19" t="s">
        <v>51</v>
      </c>
      <c r="N101" s="19" t="s">
        <v>51</v>
      </c>
      <c r="O101" s="19" t="s">
        <v>52</v>
      </c>
      <c r="P101" s="21" t="s">
        <v>53</v>
      </c>
      <c r="Q101" s="22">
        <v>0.02361111111111111</v>
      </c>
      <c r="R101" s="13">
        <v>0.013888888888888888</v>
      </c>
      <c r="S101" s="15">
        <f>Q101+R101</f>
        <v>0.0375</v>
      </c>
      <c r="T101" s="19" t="s">
        <v>445</v>
      </c>
      <c r="U101" s="19" t="s">
        <v>55</v>
      </c>
      <c r="V101" s="13">
        <f t="shared" si="1"/>
        <v>0.0375</v>
      </c>
      <c r="W101" s="19" t="s">
        <v>56</v>
      </c>
      <c r="X101" s="20" t="s">
        <v>57</v>
      </c>
      <c r="Y101" s="25" t="s">
        <v>248</v>
      </c>
      <c r="Z101" s="12"/>
      <c r="AA101" s="23"/>
      <c r="AB101" s="20" t="s">
        <v>45</v>
      </c>
      <c r="AC101" s="24"/>
      <c r="AD101" s="19" t="s">
        <v>155</v>
      </c>
      <c r="AE101" s="19" t="s">
        <v>63</v>
      </c>
      <c r="AF101" s="19" t="s">
        <v>446</v>
      </c>
      <c r="AG101" s="19" t="s">
        <v>367</v>
      </c>
      <c r="AH101" s="19" t="s">
        <v>295</v>
      </c>
      <c r="AI101" s="19" t="s">
        <v>418</v>
      </c>
      <c r="AJ101" s="19" t="s">
        <v>447</v>
      </c>
      <c r="AK101" s="12"/>
      <c r="AL101" s="12"/>
      <c r="AM101" s="12"/>
    </row>
    <row r="102" ht="39.0" customHeight="1">
      <c r="A102" s="25" t="s">
        <v>439</v>
      </c>
      <c r="B102" s="25" t="s">
        <v>298</v>
      </c>
      <c r="C102" s="25" t="s">
        <v>440</v>
      </c>
      <c r="D102" s="25" t="s">
        <v>441</v>
      </c>
      <c r="E102" s="25" t="s">
        <v>43</v>
      </c>
      <c r="F102" s="25" t="s">
        <v>442</v>
      </c>
      <c r="G102" s="25" t="s">
        <v>45</v>
      </c>
      <c r="H102" s="25" t="s">
        <v>443</v>
      </c>
      <c r="I102" s="26" t="s">
        <v>444</v>
      </c>
      <c r="J102" s="25" t="s">
        <v>282</v>
      </c>
      <c r="K102" s="25" t="s">
        <v>49</v>
      </c>
      <c r="L102" s="25" t="s">
        <v>50</v>
      </c>
      <c r="M102" s="25" t="s">
        <v>51</v>
      </c>
      <c r="N102" s="25" t="s">
        <v>51</v>
      </c>
      <c r="O102" s="25" t="s">
        <v>52</v>
      </c>
      <c r="P102" s="21" t="s">
        <v>53</v>
      </c>
      <c r="Q102" s="22">
        <v>0.02361111111111111</v>
      </c>
      <c r="R102" s="13">
        <v>0.013888888888888888</v>
      </c>
      <c r="S102" s="13">
        <f>TIMEVALUE(Q102+R102)</f>
        <v>0.0375</v>
      </c>
      <c r="T102" s="25" t="s">
        <v>448</v>
      </c>
      <c r="U102" s="25" t="s">
        <v>158</v>
      </c>
      <c r="V102" s="13">
        <f t="shared" si="1"/>
        <v>0.0375</v>
      </c>
      <c r="W102" s="19" t="s">
        <v>56</v>
      </c>
      <c r="X102" s="20" t="s">
        <v>57</v>
      </c>
      <c r="Y102" s="25" t="s">
        <v>248</v>
      </c>
      <c r="Z102" s="14"/>
      <c r="AA102" s="27"/>
      <c r="AB102" s="26" t="s">
        <v>45</v>
      </c>
      <c r="AC102" s="28"/>
      <c r="AD102" s="25" t="s">
        <v>155</v>
      </c>
      <c r="AE102" s="25" t="s">
        <v>63</v>
      </c>
      <c r="AF102" s="25" t="s">
        <v>446</v>
      </c>
      <c r="AG102" s="25" t="s">
        <v>367</v>
      </c>
      <c r="AH102" s="25" t="s">
        <v>295</v>
      </c>
      <c r="AI102" s="25" t="s">
        <v>418</v>
      </c>
      <c r="AJ102" s="25" t="s">
        <v>447</v>
      </c>
      <c r="AK102" s="14"/>
      <c r="AL102" s="14"/>
      <c r="AM102" s="14"/>
    </row>
    <row r="103" ht="39.0" customHeight="1">
      <c r="A103" s="19" t="s">
        <v>439</v>
      </c>
      <c r="B103" s="19" t="s">
        <v>298</v>
      </c>
      <c r="C103" s="19" t="s">
        <v>440</v>
      </c>
      <c r="D103" s="19" t="s">
        <v>441</v>
      </c>
      <c r="E103" s="19" t="s">
        <v>43</v>
      </c>
      <c r="F103" s="19" t="s">
        <v>442</v>
      </c>
      <c r="G103" s="19" t="s">
        <v>45</v>
      </c>
      <c r="H103" s="19" t="s">
        <v>443</v>
      </c>
      <c r="I103" s="20" t="s">
        <v>444</v>
      </c>
      <c r="J103" s="19" t="s">
        <v>282</v>
      </c>
      <c r="K103" s="19" t="s">
        <v>49</v>
      </c>
      <c r="L103" s="19" t="s">
        <v>50</v>
      </c>
      <c r="M103" s="19" t="s">
        <v>51</v>
      </c>
      <c r="N103" s="19" t="s">
        <v>51</v>
      </c>
      <c r="O103" s="19" t="s">
        <v>52</v>
      </c>
      <c r="P103" s="21" t="s">
        <v>53</v>
      </c>
      <c r="Q103" s="22">
        <v>0.02361111111111111</v>
      </c>
      <c r="R103" s="13">
        <v>0.013888888888888888</v>
      </c>
      <c r="S103" s="15">
        <f>Q103+R103</f>
        <v>0.0375</v>
      </c>
      <c r="T103" s="19" t="s">
        <v>449</v>
      </c>
      <c r="U103" s="19" t="s">
        <v>158</v>
      </c>
      <c r="V103" s="13">
        <f t="shared" si="1"/>
        <v>0.0375</v>
      </c>
      <c r="W103" s="19" t="s">
        <v>56</v>
      </c>
      <c r="X103" s="20" t="s">
        <v>57</v>
      </c>
      <c r="Y103" s="25" t="s">
        <v>248</v>
      </c>
      <c r="Z103" s="12"/>
      <c r="AA103" s="23"/>
      <c r="AB103" s="20" t="s">
        <v>45</v>
      </c>
      <c r="AC103" s="24"/>
      <c r="AD103" s="19" t="s">
        <v>155</v>
      </c>
      <c r="AE103" s="19" t="s">
        <v>63</v>
      </c>
      <c r="AF103" s="19" t="s">
        <v>446</v>
      </c>
      <c r="AG103" s="19" t="s">
        <v>367</v>
      </c>
      <c r="AH103" s="19" t="s">
        <v>295</v>
      </c>
      <c r="AI103" s="19" t="s">
        <v>418</v>
      </c>
      <c r="AJ103" s="19" t="s">
        <v>447</v>
      </c>
      <c r="AK103" s="12"/>
      <c r="AL103" s="12"/>
      <c r="AM103" s="12"/>
    </row>
    <row r="104" ht="39.0" customHeight="1">
      <c r="A104" s="25" t="s">
        <v>439</v>
      </c>
      <c r="B104" s="25" t="s">
        <v>298</v>
      </c>
      <c r="C104" s="25" t="s">
        <v>440</v>
      </c>
      <c r="D104" s="25" t="s">
        <v>441</v>
      </c>
      <c r="E104" s="25" t="s">
        <v>43</v>
      </c>
      <c r="F104" s="25" t="s">
        <v>442</v>
      </c>
      <c r="G104" s="25" t="s">
        <v>45</v>
      </c>
      <c r="H104" s="25" t="s">
        <v>443</v>
      </c>
      <c r="I104" s="26" t="s">
        <v>444</v>
      </c>
      <c r="J104" s="25" t="s">
        <v>282</v>
      </c>
      <c r="K104" s="25" t="s">
        <v>49</v>
      </c>
      <c r="L104" s="25" t="s">
        <v>50</v>
      </c>
      <c r="M104" s="25" t="s">
        <v>51</v>
      </c>
      <c r="N104" s="25" t="s">
        <v>51</v>
      </c>
      <c r="O104" s="25" t="s">
        <v>52</v>
      </c>
      <c r="P104" s="21" t="s">
        <v>53</v>
      </c>
      <c r="Q104" s="22">
        <v>0.02361111111111111</v>
      </c>
      <c r="R104" s="13">
        <v>0.013888888888888888</v>
      </c>
      <c r="S104" s="13">
        <f t="shared" ref="S104:S105" si="21">TIMEVALUE(Q104+R104)</f>
        <v>0.0375</v>
      </c>
      <c r="T104" s="14"/>
      <c r="U104" s="25" t="s">
        <v>158</v>
      </c>
      <c r="V104" s="13">
        <f t="shared" si="1"/>
        <v>0.0375</v>
      </c>
      <c r="W104" s="19" t="s">
        <v>56</v>
      </c>
      <c r="X104" s="20" t="s">
        <v>57</v>
      </c>
      <c r="Y104" s="25" t="s">
        <v>248</v>
      </c>
      <c r="Z104" s="14"/>
      <c r="AA104" s="27"/>
      <c r="AB104" s="26" t="s">
        <v>45</v>
      </c>
      <c r="AC104" s="28"/>
      <c r="AD104" s="25" t="s">
        <v>155</v>
      </c>
      <c r="AE104" s="25" t="s">
        <v>63</v>
      </c>
      <c r="AF104" s="25" t="s">
        <v>446</v>
      </c>
      <c r="AG104" s="25" t="s">
        <v>367</v>
      </c>
      <c r="AH104" s="25" t="s">
        <v>295</v>
      </c>
      <c r="AI104" s="25" t="s">
        <v>418</v>
      </c>
      <c r="AJ104" s="25" t="s">
        <v>447</v>
      </c>
      <c r="AK104" s="14"/>
      <c r="AL104" s="14"/>
      <c r="AM104" s="14"/>
    </row>
    <row r="105" ht="39.0" customHeight="1">
      <c r="A105" s="19" t="s">
        <v>439</v>
      </c>
      <c r="B105" s="19" t="s">
        <v>298</v>
      </c>
      <c r="C105" s="19" t="s">
        <v>440</v>
      </c>
      <c r="D105" s="19" t="s">
        <v>441</v>
      </c>
      <c r="E105" s="19" t="s">
        <v>43</v>
      </c>
      <c r="F105" s="19" t="s">
        <v>442</v>
      </c>
      <c r="G105" s="19" t="s">
        <v>45</v>
      </c>
      <c r="H105" s="19" t="s">
        <v>443</v>
      </c>
      <c r="I105" s="20" t="s">
        <v>444</v>
      </c>
      <c r="J105" s="19" t="s">
        <v>282</v>
      </c>
      <c r="K105" s="19" t="s">
        <v>49</v>
      </c>
      <c r="L105" s="19" t="s">
        <v>50</v>
      </c>
      <c r="M105" s="19" t="s">
        <v>51</v>
      </c>
      <c r="N105" s="19" t="s">
        <v>51</v>
      </c>
      <c r="O105" s="19" t="s">
        <v>52</v>
      </c>
      <c r="P105" s="21" t="s">
        <v>53</v>
      </c>
      <c r="Q105" s="22">
        <v>0.02361111111111111</v>
      </c>
      <c r="R105" s="13">
        <v>0.013888888888888888</v>
      </c>
      <c r="S105" s="13">
        <f t="shared" si="21"/>
        <v>0.0375</v>
      </c>
      <c r="T105" s="12"/>
      <c r="U105" s="12"/>
      <c r="V105" s="13">
        <f t="shared" si="1"/>
        <v>0.0375</v>
      </c>
      <c r="W105" s="19" t="s">
        <v>56</v>
      </c>
      <c r="X105" s="20" t="s">
        <v>57</v>
      </c>
      <c r="Y105" s="25" t="s">
        <v>248</v>
      </c>
      <c r="Z105" s="12"/>
      <c r="AA105" s="23"/>
      <c r="AB105" s="20" t="s">
        <v>45</v>
      </c>
      <c r="AC105" s="24"/>
      <c r="AD105" s="19" t="s">
        <v>155</v>
      </c>
      <c r="AE105" s="19" t="s">
        <v>63</v>
      </c>
      <c r="AF105" s="19" t="s">
        <v>446</v>
      </c>
      <c r="AG105" s="19" t="s">
        <v>367</v>
      </c>
      <c r="AH105" s="19" t="s">
        <v>295</v>
      </c>
      <c r="AI105" s="19" t="s">
        <v>418</v>
      </c>
      <c r="AJ105" s="19" t="s">
        <v>447</v>
      </c>
      <c r="AK105" s="12"/>
      <c r="AL105" s="12"/>
      <c r="AM105" s="12"/>
    </row>
    <row r="106" ht="39.0" customHeight="1">
      <c r="A106" s="25"/>
      <c r="B106" s="14"/>
      <c r="C106" s="25" t="s">
        <v>450</v>
      </c>
      <c r="D106" s="25" t="s">
        <v>451</v>
      </c>
      <c r="E106" s="25" t="s">
        <v>43</v>
      </c>
      <c r="F106" s="25" t="s">
        <v>452</v>
      </c>
      <c r="G106" s="25" t="s">
        <v>45</v>
      </c>
      <c r="H106" s="25" t="s">
        <v>453</v>
      </c>
      <c r="I106" s="26" t="s">
        <v>454</v>
      </c>
      <c r="J106" s="25" t="s">
        <v>282</v>
      </c>
      <c r="K106" s="25" t="s">
        <v>49</v>
      </c>
      <c r="L106" s="25" t="s">
        <v>50</v>
      </c>
      <c r="M106" s="25" t="s">
        <v>51</v>
      </c>
      <c r="N106" s="25" t="s">
        <v>51</v>
      </c>
      <c r="O106" s="25" t="s">
        <v>52</v>
      </c>
      <c r="P106" s="21" t="s">
        <v>53</v>
      </c>
      <c r="Q106" s="22">
        <v>0.02361111111111111</v>
      </c>
      <c r="R106" s="13">
        <v>0.013888888888888888</v>
      </c>
      <c r="S106" s="15">
        <f>Q106+R106</f>
        <v>0.0375</v>
      </c>
      <c r="T106" s="25" t="s">
        <v>118</v>
      </c>
      <c r="U106" s="25" t="s">
        <v>72</v>
      </c>
      <c r="V106" s="13">
        <f t="shared" si="1"/>
        <v>0.0375</v>
      </c>
      <c r="W106" s="19" t="s">
        <v>56</v>
      </c>
      <c r="X106" s="20" t="s">
        <v>57</v>
      </c>
      <c r="Y106" s="25" t="s">
        <v>248</v>
      </c>
      <c r="Z106" s="14"/>
      <c r="AA106" s="27"/>
      <c r="AB106" s="26" t="s">
        <v>45</v>
      </c>
      <c r="AC106" s="28"/>
      <c r="AD106" s="25" t="s">
        <v>352</v>
      </c>
      <c r="AE106" s="25" t="s">
        <v>455</v>
      </c>
      <c r="AF106" s="25" t="s">
        <v>406</v>
      </c>
      <c r="AG106" s="25" t="s">
        <v>63</v>
      </c>
      <c r="AH106" s="14"/>
      <c r="AI106" s="14"/>
      <c r="AJ106" s="14"/>
      <c r="AK106" s="14"/>
      <c r="AL106" s="14"/>
      <c r="AM106" s="14"/>
    </row>
    <row r="107" ht="52.5" customHeight="1">
      <c r="A107" s="19"/>
      <c r="B107" s="12"/>
      <c r="C107" s="19" t="s">
        <v>450</v>
      </c>
      <c r="D107" s="19" t="s">
        <v>451</v>
      </c>
      <c r="E107" s="19" t="s">
        <v>43</v>
      </c>
      <c r="F107" s="19" t="s">
        <v>452</v>
      </c>
      <c r="G107" s="19" t="s">
        <v>45</v>
      </c>
      <c r="H107" s="19" t="s">
        <v>453</v>
      </c>
      <c r="I107" s="20" t="s">
        <v>454</v>
      </c>
      <c r="J107" s="19" t="s">
        <v>282</v>
      </c>
      <c r="K107" s="19" t="s">
        <v>49</v>
      </c>
      <c r="L107" s="19" t="s">
        <v>50</v>
      </c>
      <c r="M107" s="19" t="s">
        <v>51</v>
      </c>
      <c r="N107" s="19" t="s">
        <v>51</v>
      </c>
      <c r="O107" s="19" t="s">
        <v>52</v>
      </c>
      <c r="P107" s="21" t="s">
        <v>53</v>
      </c>
      <c r="Q107" s="22">
        <v>0.02361111111111111</v>
      </c>
      <c r="R107" s="13">
        <v>0.013888888888888888</v>
      </c>
      <c r="S107" s="13">
        <f>TIMEVALUE(Q107+R107)</f>
        <v>0.0375</v>
      </c>
      <c r="T107" s="12"/>
      <c r="U107" s="12"/>
      <c r="V107" s="13">
        <f t="shared" si="1"/>
        <v>0.0375</v>
      </c>
      <c r="W107" s="19" t="s">
        <v>56</v>
      </c>
      <c r="X107" s="20" t="s">
        <v>57</v>
      </c>
      <c r="Y107" s="25" t="s">
        <v>248</v>
      </c>
      <c r="Z107" s="12"/>
      <c r="AA107" s="23"/>
      <c r="AB107" s="20" t="s">
        <v>45</v>
      </c>
      <c r="AC107" s="24"/>
      <c r="AD107" s="19" t="s">
        <v>352</v>
      </c>
      <c r="AE107" s="19" t="s">
        <v>455</v>
      </c>
      <c r="AF107" s="19" t="s">
        <v>406</v>
      </c>
      <c r="AG107" s="19" t="s">
        <v>63</v>
      </c>
      <c r="AH107" s="12"/>
      <c r="AI107" s="12"/>
      <c r="AJ107" s="12"/>
      <c r="AK107" s="12"/>
      <c r="AL107" s="12"/>
      <c r="AM107" s="12"/>
    </row>
    <row r="108" ht="52.5" customHeight="1">
      <c r="A108" s="25"/>
      <c r="B108" s="14"/>
      <c r="C108" s="25" t="s">
        <v>450</v>
      </c>
      <c r="D108" s="25" t="s">
        <v>456</v>
      </c>
      <c r="E108" s="25" t="s">
        <v>43</v>
      </c>
      <c r="F108" s="25" t="s">
        <v>457</v>
      </c>
      <c r="G108" s="25" t="s">
        <v>45</v>
      </c>
      <c r="H108" s="25" t="s">
        <v>458</v>
      </c>
      <c r="I108" s="26" t="s">
        <v>459</v>
      </c>
      <c r="J108" s="25" t="s">
        <v>282</v>
      </c>
      <c r="K108" s="25" t="s">
        <v>49</v>
      </c>
      <c r="L108" s="25" t="s">
        <v>50</v>
      </c>
      <c r="M108" s="25" t="s">
        <v>51</v>
      </c>
      <c r="N108" s="25" t="s">
        <v>51</v>
      </c>
      <c r="O108" s="25" t="s">
        <v>172</v>
      </c>
      <c r="P108" s="21" t="s">
        <v>53</v>
      </c>
      <c r="Q108" s="22">
        <v>0.02361111111111111</v>
      </c>
      <c r="R108" s="13">
        <v>0.013888888888888888</v>
      </c>
      <c r="S108" s="15">
        <f>Q108+R108</f>
        <v>0.0375</v>
      </c>
      <c r="T108" s="25" t="s">
        <v>118</v>
      </c>
      <c r="U108" s="25" t="s">
        <v>72</v>
      </c>
      <c r="V108" s="13">
        <f t="shared" si="1"/>
        <v>0.0375</v>
      </c>
      <c r="W108" s="19" t="s">
        <v>56</v>
      </c>
      <c r="X108" s="20" t="s">
        <v>57</v>
      </c>
      <c r="Y108" s="25" t="s">
        <v>248</v>
      </c>
      <c r="Z108" s="14"/>
      <c r="AA108" s="27"/>
      <c r="AB108" s="26" t="s">
        <v>45</v>
      </c>
      <c r="AC108" s="28"/>
      <c r="AD108" s="25" t="s">
        <v>107</v>
      </c>
      <c r="AE108" s="25" t="s">
        <v>460</v>
      </c>
      <c r="AF108" s="25" t="s">
        <v>63</v>
      </c>
      <c r="AG108" s="14"/>
      <c r="AH108" s="14"/>
      <c r="AI108" s="14"/>
      <c r="AJ108" s="14"/>
      <c r="AK108" s="14"/>
      <c r="AL108" s="14"/>
      <c r="AM108" s="14"/>
    </row>
    <row r="109" ht="52.5" customHeight="1">
      <c r="A109" s="19"/>
      <c r="B109" s="12"/>
      <c r="C109" s="19" t="s">
        <v>450</v>
      </c>
      <c r="D109" s="19" t="s">
        <v>456</v>
      </c>
      <c r="E109" s="19" t="s">
        <v>43</v>
      </c>
      <c r="F109" s="19" t="s">
        <v>457</v>
      </c>
      <c r="G109" s="19" t="s">
        <v>45</v>
      </c>
      <c r="H109" s="19" t="s">
        <v>458</v>
      </c>
      <c r="I109" s="20" t="s">
        <v>459</v>
      </c>
      <c r="J109" s="19" t="s">
        <v>282</v>
      </c>
      <c r="K109" s="19" t="s">
        <v>49</v>
      </c>
      <c r="L109" s="19" t="s">
        <v>50</v>
      </c>
      <c r="M109" s="19" t="s">
        <v>51</v>
      </c>
      <c r="N109" s="19" t="s">
        <v>51</v>
      </c>
      <c r="O109" s="19" t="s">
        <v>172</v>
      </c>
      <c r="P109" s="21" t="s">
        <v>53</v>
      </c>
      <c r="Q109" s="22">
        <v>0.02361111111111111</v>
      </c>
      <c r="R109" s="13">
        <v>0.013888888888888888</v>
      </c>
      <c r="S109" s="13">
        <f t="shared" ref="S109:S110" si="22">TIMEVALUE(Q109+R109)</f>
        <v>0.0375</v>
      </c>
      <c r="T109" s="12"/>
      <c r="U109" s="12"/>
      <c r="V109" s="13">
        <f t="shared" si="1"/>
        <v>0.0375</v>
      </c>
      <c r="W109" s="19" t="s">
        <v>56</v>
      </c>
      <c r="X109" s="20" t="s">
        <v>57</v>
      </c>
      <c r="Y109" s="25" t="s">
        <v>248</v>
      </c>
      <c r="Z109" s="12"/>
      <c r="AA109" s="23"/>
      <c r="AB109" s="20" t="s">
        <v>45</v>
      </c>
      <c r="AC109" s="24"/>
      <c r="AD109" s="19" t="s">
        <v>107</v>
      </c>
      <c r="AE109" s="19" t="s">
        <v>460</v>
      </c>
      <c r="AF109" s="19" t="s">
        <v>63</v>
      </c>
      <c r="AG109" s="12"/>
      <c r="AH109" s="12"/>
      <c r="AI109" s="12"/>
      <c r="AJ109" s="12"/>
      <c r="AK109" s="12"/>
      <c r="AL109" s="12"/>
      <c r="AM109" s="12"/>
    </row>
    <row r="110" ht="52.5" customHeight="1">
      <c r="A110" s="25" t="s">
        <v>461</v>
      </c>
      <c r="B110" s="14"/>
      <c r="C110" s="25" t="s">
        <v>329</v>
      </c>
      <c r="D110" s="25" t="s">
        <v>462</v>
      </c>
      <c r="E110" s="25" t="s">
        <v>43</v>
      </c>
      <c r="F110" s="25" t="s">
        <v>463</v>
      </c>
      <c r="G110" s="25" t="s">
        <v>45</v>
      </c>
      <c r="H110" s="25" t="s">
        <v>464</v>
      </c>
      <c r="I110" s="26" t="s">
        <v>71</v>
      </c>
      <c r="J110" s="25" t="s">
        <v>282</v>
      </c>
      <c r="K110" s="25" t="s">
        <v>49</v>
      </c>
      <c r="L110" s="25" t="s">
        <v>50</v>
      </c>
      <c r="M110" s="25" t="s">
        <v>51</v>
      </c>
      <c r="N110" s="25" t="s">
        <v>51</v>
      </c>
      <c r="O110" s="25" t="s">
        <v>172</v>
      </c>
      <c r="P110" s="21" t="s">
        <v>53</v>
      </c>
      <c r="Q110" s="22">
        <v>0.02361111111111111</v>
      </c>
      <c r="R110" s="13">
        <v>0.013888888888888888</v>
      </c>
      <c r="S110" s="13">
        <f t="shared" si="22"/>
        <v>0.0375</v>
      </c>
      <c r="T110" s="25" t="s">
        <v>118</v>
      </c>
      <c r="U110" s="25" t="s">
        <v>72</v>
      </c>
      <c r="V110" s="13">
        <f t="shared" si="1"/>
        <v>0.0375</v>
      </c>
      <c r="W110" s="19" t="s">
        <v>56</v>
      </c>
      <c r="X110" s="20" t="s">
        <v>57</v>
      </c>
      <c r="Y110" s="25" t="s">
        <v>248</v>
      </c>
      <c r="Z110" s="14"/>
      <c r="AA110" s="27"/>
      <c r="AB110" s="26" t="s">
        <v>45</v>
      </c>
      <c r="AC110" s="28"/>
      <c r="AD110" s="25" t="s">
        <v>63</v>
      </c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ht="39.0" customHeight="1">
      <c r="A111" s="19" t="s">
        <v>461</v>
      </c>
      <c r="B111" s="12"/>
      <c r="C111" s="19" t="s">
        <v>329</v>
      </c>
      <c r="D111" s="19" t="s">
        <v>462</v>
      </c>
      <c r="E111" s="19" t="s">
        <v>43</v>
      </c>
      <c r="F111" s="19" t="s">
        <v>463</v>
      </c>
      <c r="G111" s="19" t="s">
        <v>45</v>
      </c>
      <c r="H111" s="19" t="s">
        <v>464</v>
      </c>
      <c r="I111" s="20" t="s">
        <v>71</v>
      </c>
      <c r="J111" s="19" t="s">
        <v>282</v>
      </c>
      <c r="K111" s="19" t="s">
        <v>49</v>
      </c>
      <c r="L111" s="19" t="s">
        <v>50</v>
      </c>
      <c r="M111" s="19" t="s">
        <v>51</v>
      </c>
      <c r="N111" s="19" t="s">
        <v>51</v>
      </c>
      <c r="O111" s="19" t="s">
        <v>172</v>
      </c>
      <c r="P111" s="21" t="s">
        <v>53</v>
      </c>
      <c r="Q111" s="22">
        <v>0.02361111111111111</v>
      </c>
      <c r="R111" s="13">
        <v>0.013888888888888888</v>
      </c>
      <c r="S111" s="15">
        <f>Q111+R111</f>
        <v>0.0375</v>
      </c>
      <c r="T111" s="12"/>
      <c r="U111" s="12"/>
      <c r="V111" s="13">
        <f t="shared" si="1"/>
        <v>0.0375</v>
      </c>
      <c r="W111" s="19" t="s">
        <v>56</v>
      </c>
      <c r="X111" s="20" t="s">
        <v>57</v>
      </c>
      <c r="Y111" s="25" t="s">
        <v>248</v>
      </c>
      <c r="Z111" s="12"/>
      <c r="AA111" s="23"/>
      <c r="AB111" s="20" t="s">
        <v>45</v>
      </c>
      <c r="AC111" s="24"/>
      <c r="AD111" s="19" t="s">
        <v>63</v>
      </c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ht="39.0" customHeight="1">
      <c r="A112" s="25" t="s">
        <v>465</v>
      </c>
      <c r="B112" s="14"/>
      <c r="C112" s="25" t="s">
        <v>466</v>
      </c>
      <c r="D112" s="25" t="s">
        <v>467</v>
      </c>
      <c r="E112" s="25" t="s">
        <v>43</v>
      </c>
      <c r="F112" s="25" t="s">
        <v>468</v>
      </c>
      <c r="G112" s="25" t="s">
        <v>45</v>
      </c>
      <c r="H112" s="25" t="s">
        <v>469</v>
      </c>
      <c r="I112" s="26" t="s">
        <v>470</v>
      </c>
      <c r="J112" s="25" t="s">
        <v>282</v>
      </c>
      <c r="K112" s="25" t="s">
        <v>49</v>
      </c>
      <c r="L112" s="25" t="s">
        <v>50</v>
      </c>
      <c r="M112" s="25" t="s">
        <v>51</v>
      </c>
      <c r="N112" s="25" t="s">
        <v>51</v>
      </c>
      <c r="O112" s="25" t="s">
        <v>172</v>
      </c>
      <c r="P112" s="21" t="s">
        <v>53</v>
      </c>
      <c r="Q112" s="22">
        <v>0.02361111111111111</v>
      </c>
      <c r="R112" s="13">
        <v>0.020833333333333332</v>
      </c>
      <c r="S112" s="13">
        <f>TIMEVALUE(Q112+R112)</f>
        <v>0.04444444444</v>
      </c>
      <c r="T112" s="25" t="s">
        <v>118</v>
      </c>
      <c r="U112" s="25" t="s">
        <v>72</v>
      </c>
      <c r="V112" s="13">
        <f t="shared" si="1"/>
        <v>0.04444444444</v>
      </c>
      <c r="W112" s="19" t="s">
        <v>56</v>
      </c>
      <c r="X112" s="20" t="s">
        <v>57</v>
      </c>
      <c r="Y112" s="25" t="s">
        <v>248</v>
      </c>
      <c r="Z112" s="14"/>
      <c r="AA112" s="27"/>
      <c r="AB112" s="26" t="s">
        <v>45</v>
      </c>
      <c r="AC112" s="28"/>
      <c r="AD112" s="25" t="s">
        <v>155</v>
      </c>
      <c r="AE112" s="25" t="s">
        <v>471</v>
      </c>
      <c r="AF112" s="25" t="s">
        <v>63</v>
      </c>
      <c r="AG112" s="14"/>
      <c r="AH112" s="14"/>
      <c r="AI112" s="14"/>
      <c r="AJ112" s="14"/>
      <c r="AK112" s="14"/>
      <c r="AL112" s="14"/>
      <c r="AM112" s="14"/>
    </row>
    <row r="113" ht="39.0" customHeight="1">
      <c r="A113" s="19" t="s">
        <v>472</v>
      </c>
      <c r="B113" s="12"/>
      <c r="C113" s="19" t="s">
        <v>473</v>
      </c>
      <c r="D113" s="19" t="s">
        <v>474</v>
      </c>
      <c r="E113" s="19" t="s">
        <v>43</v>
      </c>
      <c r="F113" s="19" t="s">
        <v>475</v>
      </c>
      <c r="G113" s="19" t="s">
        <v>45</v>
      </c>
      <c r="H113" s="19" t="s">
        <v>476</v>
      </c>
      <c r="I113" s="20" t="s">
        <v>477</v>
      </c>
      <c r="J113" s="19" t="s">
        <v>282</v>
      </c>
      <c r="K113" s="19" t="s">
        <v>49</v>
      </c>
      <c r="L113" s="19" t="s">
        <v>50</v>
      </c>
      <c r="M113" s="19" t="s">
        <v>51</v>
      </c>
      <c r="N113" s="19" t="s">
        <v>51</v>
      </c>
      <c r="O113" s="19" t="s">
        <v>284</v>
      </c>
      <c r="P113" s="21" t="s">
        <v>53</v>
      </c>
      <c r="Q113" s="22">
        <v>0.02361111111111111</v>
      </c>
      <c r="R113" s="13">
        <v>0.020833333333333332</v>
      </c>
      <c r="S113" s="15">
        <f>Q113+R113</f>
        <v>0.04444444444</v>
      </c>
      <c r="T113" s="19"/>
      <c r="U113" s="12"/>
      <c r="V113" s="13">
        <f t="shared" si="1"/>
        <v>0.04444444444</v>
      </c>
      <c r="W113" s="19" t="s">
        <v>56</v>
      </c>
      <c r="X113" s="20" t="s">
        <v>57</v>
      </c>
      <c r="Y113" s="25" t="s">
        <v>248</v>
      </c>
      <c r="Z113" s="12"/>
      <c r="AA113" s="18"/>
      <c r="AB113" s="20" t="s">
        <v>45</v>
      </c>
      <c r="AC113" s="24"/>
      <c r="AD113" s="19" t="s">
        <v>478</v>
      </c>
      <c r="AE113" s="19" t="s">
        <v>63</v>
      </c>
      <c r="AF113" s="19" t="s">
        <v>479</v>
      </c>
      <c r="AG113" s="19" t="s">
        <v>82</v>
      </c>
      <c r="AH113" s="12"/>
      <c r="AI113" s="12"/>
      <c r="AJ113" s="12"/>
      <c r="AK113" s="12"/>
      <c r="AL113" s="12"/>
      <c r="AM113" s="12"/>
    </row>
    <row r="114" ht="39.0" customHeight="1">
      <c r="A114" s="19" t="s">
        <v>480</v>
      </c>
      <c r="B114" s="12"/>
      <c r="C114" s="19" t="s">
        <v>481</v>
      </c>
      <c r="D114" s="19" t="s">
        <v>482</v>
      </c>
      <c r="E114" s="19" t="s">
        <v>43</v>
      </c>
      <c r="F114" s="19" t="s">
        <v>483</v>
      </c>
      <c r="G114" s="19" t="s">
        <v>45</v>
      </c>
      <c r="H114" s="19" t="s">
        <v>484</v>
      </c>
      <c r="I114" s="20" t="s">
        <v>485</v>
      </c>
      <c r="J114" s="19" t="s">
        <v>486</v>
      </c>
      <c r="K114" s="19" t="s">
        <v>49</v>
      </c>
      <c r="L114" s="19" t="s">
        <v>50</v>
      </c>
      <c r="M114" s="19" t="s">
        <v>283</v>
      </c>
      <c r="N114" s="19" t="s">
        <v>283</v>
      </c>
      <c r="O114" s="19" t="s">
        <v>293</v>
      </c>
      <c r="P114" s="21" t="s">
        <v>53</v>
      </c>
      <c r="Q114" s="22">
        <v>0.04097222222222222</v>
      </c>
      <c r="R114" s="13">
        <v>0.03680555555555556</v>
      </c>
      <c r="S114" s="13">
        <f t="shared" ref="S114:S115" si="23">TIMEVALUE(Q114+R114)</f>
        <v>0.07777777778</v>
      </c>
      <c r="T114" s="19" t="s">
        <v>54</v>
      </c>
      <c r="U114" s="19" t="s">
        <v>72</v>
      </c>
      <c r="V114" s="13">
        <f t="shared" si="1"/>
        <v>0.07777777778</v>
      </c>
      <c r="W114" s="19" t="s">
        <v>56</v>
      </c>
      <c r="X114" s="20" t="s">
        <v>57</v>
      </c>
      <c r="Y114" s="25" t="s">
        <v>248</v>
      </c>
      <c r="Z114" s="12"/>
      <c r="AA114" s="23"/>
      <c r="AB114" s="20" t="s">
        <v>45</v>
      </c>
      <c r="AC114" s="24"/>
      <c r="AD114" s="19" t="s">
        <v>155</v>
      </c>
      <c r="AE114" s="19" t="s">
        <v>487</v>
      </c>
      <c r="AF114" s="12"/>
      <c r="AG114" s="12"/>
      <c r="AH114" s="12"/>
      <c r="AI114" s="12"/>
      <c r="AJ114" s="12"/>
      <c r="AK114" s="12"/>
      <c r="AL114" s="12"/>
      <c r="AM114" s="12"/>
    </row>
    <row r="115" ht="91.5" customHeight="1">
      <c r="A115" s="25" t="s">
        <v>480</v>
      </c>
      <c r="B115" s="14"/>
      <c r="C115" s="25" t="s">
        <v>481</v>
      </c>
      <c r="D115" s="25" t="s">
        <v>482</v>
      </c>
      <c r="E115" s="25" t="s">
        <v>43</v>
      </c>
      <c r="F115" s="25" t="s">
        <v>483</v>
      </c>
      <c r="G115" s="25" t="s">
        <v>45</v>
      </c>
      <c r="H115" s="25" t="s">
        <v>484</v>
      </c>
      <c r="I115" s="26" t="s">
        <v>485</v>
      </c>
      <c r="J115" s="25" t="s">
        <v>486</v>
      </c>
      <c r="K115" s="25" t="s">
        <v>49</v>
      </c>
      <c r="L115" s="25" t="s">
        <v>50</v>
      </c>
      <c r="M115" s="25" t="s">
        <v>283</v>
      </c>
      <c r="N115" s="25" t="s">
        <v>283</v>
      </c>
      <c r="O115" s="25" t="s">
        <v>293</v>
      </c>
      <c r="P115" s="21" t="s">
        <v>53</v>
      </c>
      <c r="Q115" s="22">
        <v>0.04097222222222222</v>
      </c>
      <c r="R115" s="13">
        <v>0.03680555555555556</v>
      </c>
      <c r="S115" s="13">
        <f t="shared" si="23"/>
        <v>0.07777777778</v>
      </c>
      <c r="T115" s="25" t="s">
        <v>54</v>
      </c>
      <c r="U115" s="14"/>
      <c r="V115" s="13">
        <f t="shared" si="1"/>
        <v>0.07777777778</v>
      </c>
      <c r="W115" s="19" t="s">
        <v>56</v>
      </c>
      <c r="X115" s="20" t="s">
        <v>57</v>
      </c>
      <c r="Y115" s="19" t="s">
        <v>159</v>
      </c>
      <c r="Z115" s="14"/>
      <c r="AA115" s="27"/>
      <c r="AB115" s="26" t="s">
        <v>45</v>
      </c>
      <c r="AC115" s="28"/>
      <c r="AD115" s="25" t="s">
        <v>155</v>
      </c>
      <c r="AE115" s="25" t="s">
        <v>487</v>
      </c>
      <c r="AF115" s="14"/>
      <c r="AG115" s="14"/>
      <c r="AH115" s="14"/>
      <c r="AI115" s="14"/>
      <c r="AJ115" s="14"/>
      <c r="AK115" s="14"/>
      <c r="AL115" s="14"/>
      <c r="AM115" s="14"/>
    </row>
    <row r="116" ht="39.0" customHeight="1">
      <c r="A116" s="25" t="s">
        <v>488</v>
      </c>
      <c r="B116" s="14"/>
      <c r="C116" s="25" t="s">
        <v>489</v>
      </c>
      <c r="D116" s="25" t="s">
        <v>490</v>
      </c>
      <c r="E116" s="25" t="s">
        <v>43</v>
      </c>
      <c r="F116" s="25" t="s">
        <v>491</v>
      </c>
      <c r="G116" s="25" t="s">
        <v>45</v>
      </c>
      <c r="H116" s="25" t="s">
        <v>492</v>
      </c>
      <c r="I116" s="28"/>
      <c r="J116" s="25" t="s">
        <v>486</v>
      </c>
      <c r="K116" s="25" t="s">
        <v>49</v>
      </c>
      <c r="L116" s="25" t="s">
        <v>50</v>
      </c>
      <c r="M116" s="25" t="s">
        <v>283</v>
      </c>
      <c r="N116" s="25" t="s">
        <v>283</v>
      </c>
      <c r="O116" s="25" t="s">
        <v>293</v>
      </c>
      <c r="P116" s="21" t="s">
        <v>53</v>
      </c>
      <c r="Q116" s="22">
        <v>0.04097222222222222</v>
      </c>
      <c r="R116" s="13">
        <v>0.03680555555555556</v>
      </c>
      <c r="S116" s="15">
        <f>Q116+R116</f>
        <v>0.07777777778</v>
      </c>
      <c r="T116" s="25" t="s">
        <v>54</v>
      </c>
      <c r="U116" s="25" t="s">
        <v>55</v>
      </c>
      <c r="V116" s="13">
        <f t="shared" si="1"/>
        <v>0.07777777778</v>
      </c>
      <c r="W116" s="19" t="s">
        <v>56</v>
      </c>
      <c r="X116" s="20" t="s">
        <v>57</v>
      </c>
      <c r="Y116" s="19" t="s">
        <v>159</v>
      </c>
      <c r="Z116" s="14"/>
      <c r="AA116" s="27"/>
      <c r="AB116" s="26" t="s">
        <v>45</v>
      </c>
      <c r="AC116" s="28"/>
      <c r="AD116" s="19" t="s">
        <v>155</v>
      </c>
      <c r="AE116" s="19" t="s">
        <v>63</v>
      </c>
      <c r="AF116" s="14"/>
      <c r="AG116" s="14"/>
      <c r="AH116" s="14"/>
      <c r="AI116" s="14"/>
      <c r="AJ116" s="14"/>
      <c r="AK116" s="14"/>
      <c r="AL116" s="14"/>
      <c r="AM116" s="14"/>
    </row>
    <row r="117" ht="39.0" customHeight="1">
      <c r="A117" s="19" t="s">
        <v>488</v>
      </c>
      <c r="B117" s="12"/>
      <c r="C117" s="19" t="s">
        <v>489</v>
      </c>
      <c r="D117" s="19" t="s">
        <v>490</v>
      </c>
      <c r="E117" s="19" t="s">
        <v>43</v>
      </c>
      <c r="F117" s="19" t="s">
        <v>491</v>
      </c>
      <c r="G117" s="19" t="s">
        <v>45</v>
      </c>
      <c r="H117" s="19" t="s">
        <v>492</v>
      </c>
      <c r="I117" s="24"/>
      <c r="J117" s="19" t="s">
        <v>486</v>
      </c>
      <c r="K117" s="19" t="s">
        <v>49</v>
      </c>
      <c r="L117" s="19" t="s">
        <v>50</v>
      </c>
      <c r="M117" s="19" t="s">
        <v>283</v>
      </c>
      <c r="N117" s="19" t="s">
        <v>283</v>
      </c>
      <c r="O117" s="19" t="s">
        <v>293</v>
      </c>
      <c r="P117" s="21" t="s">
        <v>53</v>
      </c>
      <c r="Q117" s="22">
        <v>0.04097222222222222</v>
      </c>
      <c r="R117" s="13">
        <v>0.03680555555555556</v>
      </c>
      <c r="S117" s="13">
        <f>TIMEVALUE(Q117+R117)</f>
        <v>0.07777777778</v>
      </c>
      <c r="T117" s="19" t="s">
        <v>54</v>
      </c>
      <c r="U117" s="12"/>
      <c r="V117" s="13">
        <f t="shared" si="1"/>
        <v>0.07777777778</v>
      </c>
      <c r="W117" s="19" t="s">
        <v>56</v>
      </c>
      <c r="X117" s="20" t="s">
        <v>57</v>
      </c>
      <c r="Y117" s="25" t="s">
        <v>248</v>
      </c>
      <c r="Z117" s="12"/>
      <c r="AA117" s="23"/>
      <c r="AB117" s="20" t="s">
        <v>45</v>
      </c>
      <c r="AC117" s="24"/>
      <c r="AD117" s="19" t="s">
        <v>155</v>
      </c>
      <c r="AE117" s="19" t="s">
        <v>63</v>
      </c>
      <c r="AF117" s="12"/>
      <c r="AG117" s="12"/>
      <c r="AH117" s="12"/>
      <c r="AI117" s="12"/>
      <c r="AJ117" s="12"/>
      <c r="AK117" s="12"/>
      <c r="AL117" s="12"/>
      <c r="AM117" s="12"/>
    </row>
    <row r="118" ht="65.25" customHeight="1">
      <c r="A118" s="25" t="s">
        <v>493</v>
      </c>
      <c r="B118" s="14"/>
      <c r="C118" s="25" t="s">
        <v>494</v>
      </c>
      <c r="D118" s="25" t="s">
        <v>495</v>
      </c>
      <c r="E118" s="25" t="s">
        <v>43</v>
      </c>
      <c r="F118" s="25" t="s">
        <v>496</v>
      </c>
      <c r="G118" s="25" t="s">
        <v>45</v>
      </c>
      <c r="H118" s="25" t="s">
        <v>497</v>
      </c>
      <c r="I118" s="26" t="s">
        <v>71</v>
      </c>
      <c r="J118" s="25" t="s">
        <v>486</v>
      </c>
      <c r="K118" s="25" t="s">
        <v>49</v>
      </c>
      <c r="L118" s="25" t="s">
        <v>50</v>
      </c>
      <c r="M118" s="25" t="s">
        <v>51</v>
      </c>
      <c r="N118" s="25" t="s">
        <v>51</v>
      </c>
      <c r="O118" s="25" t="s">
        <v>172</v>
      </c>
      <c r="P118" s="21" t="s">
        <v>53</v>
      </c>
      <c r="Q118" s="22">
        <v>0.04097222222222222</v>
      </c>
      <c r="R118" s="13">
        <v>0.03680555555555556</v>
      </c>
      <c r="S118" s="15">
        <f>Q118+R118</f>
        <v>0.07777777778</v>
      </c>
      <c r="T118" s="25" t="s">
        <v>54</v>
      </c>
      <c r="U118" s="25" t="s">
        <v>72</v>
      </c>
      <c r="V118" s="13">
        <f t="shared" si="1"/>
        <v>0.07777777778</v>
      </c>
      <c r="W118" s="19" t="s">
        <v>56</v>
      </c>
      <c r="X118" s="20" t="s">
        <v>57</v>
      </c>
      <c r="Y118" s="25" t="s">
        <v>248</v>
      </c>
      <c r="Z118" s="14"/>
      <c r="AA118" s="27"/>
      <c r="AB118" s="26" t="s">
        <v>45</v>
      </c>
      <c r="AC118" s="28"/>
      <c r="AD118" s="25" t="s">
        <v>63</v>
      </c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ht="65.25" customHeight="1">
      <c r="A119" s="19" t="s">
        <v>493</v>
      </c>
      <c r="B119" s="12"/>
      <c r="C119" s="19" t="s">
        <v>494</v>
      </c>
      <c r="D119" s="19" t="s">
        <v>495</v>
      </c>
      <c r="E119" s="19" t="s">
        <v>43</v>
      </c>
      <c r="F119" s="19" t="s">
        <v>496</v>
      </c>
      <c r="G119" s="19" t="s">
        <v>45</v>
      </c>
      <c r="H119" s="19" t="s">
        <v>497</v>
      </c>
      <c r="I119" s="20" t="s">
        <v>71</v>
      </c>
      <c r="J119" s="19" t="s">
        <v>486</v>
      </c>
      <c r="K119" s="19" t="s">
        <v>49</v>
      </c>
      <c r="L119" s="19" t="s">
        <v>50</v>
      </c>
      <c r="M119" s="19" t="s">
        <v>51</v>
      </c>
      <c r="N119" s="19" t="s">
        <v>51</v>
      </c>
      <c r="O119" s="19" t="s">
        <v>172</v>
      </c>
      <c r="P119" s="21" t="s">
        <v>53</v>
      </c>
      <c r="Q119" s="22">
        <v>0.04097222222222222</v>
      </c>
      <c r="R119" s="13">
        <v>0.03680555555555556</v>
      </c>
      <c r="S119" s="13">
        <f t="shared" ref="S119:S120" si="24">TIMEVALUE(Q119+R119)</f>
        <v>0.07777777778</v>
      </c>
      <c r="T119" s="19" t="s">
        <v>54</v>
      </c>
      <c r="U119" s="12"/>
      <c r="V119" s="13">
        <f t="shared" si="1"/>
        <v>0.07777777778</v>
      </c>
      <c r="W119" s="19" t="s">
        <v>56</v>
      </c>
      <c r="X119" s="20" t="s">
        <v>57</v>
      </c>
      <c r="Y119" s="25" t="s">
        <v>248</v>
      </c>
      <c r="Z119" s="12"/>
      <c r="AA119" s="23"/>
      <c r="AB119" s="20" t="s">
        <v>45</v>
      </c>
      <c r="AC119" s="24"/>
      <c r="AD119" s="19" t="s">
        <v>63</v>
      </c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ht="104.25" customHeight="1">
      <c r="A120" s="25" t="s">
        <v>498</v>
      </c>
      <c r="B120" s="14"/>
      <c r="C120" s="25" t="s">
        <v>499</v>
      </c>
      <c r="D120" s="25" t="s">
        <v>500</v>
      </c>
      <c r="E120" s="25" t="s">
        <v>43</v>
      </c>
      <c r="F120" s="25" t="s">
        <v>501</v>
      </c>
      <c r="G120" s="25" t="s">
        <v>45</v>
      </c>
      <c r="H120" s="25" t="s">
        <v>502</v>
      </c>
      <c r="I120" s="26" t="s">
        <v>71</v>
      </c>
      <c r="J120" s="25" t="s">
        <v>486</v>
      </c>
      <c r="K120" s="25" t="s">
        <v>49</v>
      </c>
      <c r="L120" s="25" t="s">
        <v>50</v>
      </c>
      <c r="M120" s="25" t="s">
        <v>283</v>
      </c>
      <c r="N120" s="25" t="s">
        <v>283</v>
      </c>
      <c r="O120" s="25" t="s">
        <v>293</v>
      </c>
      <c r="P120" s="21" t="s">
        <v>53</v>
      </c>
      <c r="Q120" s="22">
        <v>0.04097222222222222</v>
      </c>
      <c r="R120" s="13">
        <v>0.03680555555555556</v>
      </c>
      <c r="S120" s="13">
        <f t="shared" si="24"/>
        <v>0.07777777778</v>
      </c>
      <c r="T120" s="25" t="s">
        <v>54</v>
      </c>
      <c r="U120" s="25" t="s">
        <v>72</v>
      </c>
      <c r="V120" s="13">
        <f t="shared" si="1"/>
        <v>0.07777777778</v>
      </c>
      <c r="W120" s="19" t="s">
        <v>56</v>
      </c>
      <c r="X120" s="20" t="s">
        <v>57</v>
      </c>
      <c r="Y120" s="25" t="s">
        <v>503</v>
      </c>
      <c r="Z120" s="14"/>
      <c r="AA120" s="27"/>
      <c r="AB120" s="26" t="s">
        <v>45</v>
      </c>
      <c r="AC120" s="28"/>
      <c r="AD120" s="19" t="s">
        <v>155</v>
      </c>
      <c r="AE120" s="19" t="s">
        <v>63</v>
      </c>
      <c r="AF120" s="14"/>
      <c r="AG120" s="14"/>
      <c r="AH120" s="14"/>
      <c r="AI120" s="14"/>
      <c r="AJ120" s="14"/>
      <c r="AK120" s="14"/>
      <c r="AL120" s="14"/>
      <c r="AM120" s="14"/>
    </row>
    <row r="121" ht="104.25" customHeight="1">
      <c r="A121" s="19" t="s">
        <v>498</v>
      </c>
      <c r="B121" s="12"/>
      <c r="C121" s="19" t="s">
        <v>499</v>
      </c>
      <c r="D121" s="19" t="s">
        <v>500</v>
      </c>
      <c r="E121" s="19" t="s">
        <v>43</v>
      </c>
      <c r="F121" s="19" t="s">
        <v>501</v>
      </c>
      <c r="G121" s="19" t="s">
        <v>45</v>
      </c>
      <c r="H121" s="19" t="s">
        <v>502</v>
      </c>
      <c r="I121" s="26" t="s">
        <v>71</v>
      </c>
      <c r="J121" s="19" t="s">
        <v>486</v>
      </c>
      <c r="K121" s="19" t="s">
        <v>49</v>
      </c>
      <c r="L121" s="19" t="s">
        <v>50</v>
      </c>
      <c r="M121" s="19" t="s">
        <v>283</v>
      </c>
      <c r="N121" s="19" t="s">
        <v>283</v>
      </c>
      <c r="O121" s="19" t="s">
        <v>293</v>
      </c>
      <c r="P121" s="21" t="s">
        <v>53</v>
      </c>
      <c r="Q121" s="22">
        <v>0.04097222222222222</v>
      </c>
      <c r="R121" s="13">
        <v>0.03680555555555556</v>
      </c>
      <c r="S121" s="15">
        <f>Q121+R121</f>
        <v>0.07777777778</v>
      </c>
      <c r="T121" s="19" t="s">
        <v>54</v>
      </c>
      <c r="U121" s="12"/>
      <c r="V121" s="13">
        <f t="shared" si="1"/>
        <v>0.07777777778</v>
      </c>
      <c r="W121" s="19" t="s">
        <v>56</v>
      </c>
      <c r="X121" s="20" t="s">
        <v>57</v>
      </c>
      <c r="Y121" s="25" t="s">
        <v>503</v>
      </c>
      <c r="Z121" s="12"/>
      <c r="AA121" s="23"/>
      <c r="AB121" s="20" t="s">
        <v>45</v>
      </c>
      <c r="AC121" s="24"/>
      <c r="AD121" s="19" t="s">
        <v>155</v>
      </c>
      <c r="AE121" s="19" t="s">
        <v>63</v>
      </c>
      <c r="AF121" s="12"/>
      <c r="AG121" s="12"/>
      <c r="AH121" s="12"/>
      <c r="AI121" s="12"/>
      <c r="AJ121" s="12"/>
      <c r="AK121" s="12"/>
      <c r="AL121" s="12"/>
      <c r="AM121" s="12"/>
    </row>
    <row r="122" ht="65.25" customHeight="1">
      <c r="A122" s="25" t="s">
        <v>494</v>
      </c>
      <c r="B122" s="14"/>
      <c r="C122" s="25" t="s">
        <v>504</v>
      </c>
      <c r="D122" s="25" t="s">
        <v>505</v>
      </c>
      <c r="E122" s="25" t="s">
        <v>43</v>
      </c>
      <c r="F122" s="25" t="s">
        <v>506</v>
      </c>
      <c r="G122" s="25" t="s">
        <v>45</v>
      </c>
      <c r="H122" s="25" t="s">
        <v>507</v>
      </c>
      <c r="I122" s="26" t="s">
        <v>71</v>
      </c>
      <c r="J122" s="25" t="s">
        <v>486</v>
      </c>
      <c r="K122" s="25" t="s">
        <v>49</v>
      </c>
      <c r="L122" s="25" t="s">
        <v>50</v>
      </c>
      <c r="M122" s="25" t="s">
        <v>283</v>
      </c>
      <c r="N122" s="25" t="s">
        <v>283</v>
      </c>
      <c r="O122" s="25" t="s">
        <v>293</v>
      </c>
      <c r="P122" s="21" t="s">
        <v>53</v>
      </c>
      <c r="Q122" s="22">
        <v>0.04097222222222222</v>
      </c>
      <c r="R122" s="13">
        <v>0.03680555555555556</v>
      </c>
      <c r="S122" s="13">
        <f>TIMEVALUE(Q122+R122)</f>
        <v>0.07777777778</v>
      </c>
      <c r="T122" s="25" t="s">
        <v>54</v>
      </c>
      <c r="U122" s="25" t="s">
        <v>72</v>
      </c>
      <c r="V122" s="13">
        <f t="shared" si="1"/>
        <v>0.07777777778</v>
      </c>
      <c r="W122" s="19" t="s">
        <v>56</v>
      </c>
      <c r="X122" s="20" t="s">
        <v>57</v>
      </c>
      <c r="Y122" s="25" t="s">
        <v>503</v>
      </c>
      <c r="Z122" s="14"/>
      <c r="AA122" s="27"/>
      <c r="AB122" s="26" t="s">
        <v>45</v>
      </c>
      <c r="AC122" s="28"/>
      <c r="AD122" s="19" t="s">
        <v>155</v>
      </c>
      <c r="AE122" s="19" t="s">
        <v>63</v>
      </c>
      <c r="AF122" s="14"/>
      <c r="AG122" s="14"/>
      <c r="AH122" s="14"/>
      <c r="AI122" s="14"/>
      <c r="AJ122" s="14"/>
      <c r="AK122" s="14"/>
      <c r="AL122" s="14"/>
      <c r="AM122" s="14"/>
    </row>
    <row r="123" ht="65.25" customHeight="1">
      <c r="A123" s="19" t="s">
        <v>494</v>
      </c>
      <c r="B123" s="12"/>
      <c r="C123" s="19" t="s">
        <v>504</v>
      </c>
      <c r="D123" s="19" t="s">
        <v>505</v>
      </c>
      <c r="E123" s="19" t="s">
        <v>43</v>
      </c>
      <c r="F123" s="19" t="s">
        <v>506</v>
      </c>
      <c r="G123" s="19" t="s">
        <v>45</v>
      </c>
      <c r="H123" s="19" t="s">
        <v>507</v>
      </c>
      <c r="I123" s="26" t="s">
        <v>71</v>
      </c>
      <c r="J123" s="19" t="s">
        <v>486</v>
      </c>
      <c r="K123" s="19" t="s">
        <v>49</v>
      </c>
      <c r="L123" s="19" t="s">
        <v>50</v>
      </c>
      <c r="M123" s="19" t="s">
        <v>283</v>
      </c>
      <c r="N123" s="19" t="s">
        <v>283</v>
      </c>
      <c r="O123" s="19" t="s">
        <v>293</v>
      </c>
      <c r="P123" s="21" t="s">
        <v>53</v>
      </c>
      <c r="Q123" s="22">
        <v>0.04097222222222222</v>
      </c>
      <c r="R123" s="13">
        <v>0.03680555555555556</v>
      </c>
      <c r="S123" s="15">
        <f>Q123+R123</f>
        <v>0.07777777778</v>
      </c>
      <c r="T123" s="19" t="s">
        <v>54</v>
      </c>
      <c r="U123" s="12"/>
      <c r="V123" s="13">
        <f t="shared" si="1"/>
        <v>0.07777777778</v>
      </c>
      <c r="W123" s="19" t="s">
        <v>56</v>
      </c>
      <c r="X123" s="20" t="s">
        <v>57</v>
      </c>
      <c r="Y123" s="25" t="s">
        <v>503</v>
      </c>
      <c r="Z123" s="12"/>
      <c r="AA123" s="23"/>
      <c r="AB123" s="20" t="s">
        <v>45</v>
      </c>
      <c r="AC123" s="24"/>
      <c r="AD123" s="19" t="s">
        <v>155</v>
      </c>
      <c r="AE123" s="19" t="s">
        <v>63</v>
      </c>
      <c r="AF123" s="12"/>
      <c r="AG123" s="12"/>
      <c r="AH123" s="12"/>
      <c r="AI123" s="12"/>
      <c r="AJ123" s="12"/>
      <c r="AK123" s="12"/>
      <c r="AL123" s="12"/>
      <c r="AM123" s="12"/>
    </row>
    <row r="124" ht="65.25" customHeight="1">
      <c r="A124" s="25" t="s">
        <v>508</v>
      </c>
      <c r="B124" s="14"/>
      <c r="C124" s="25" t="s">
        <v>509</v>
      </c>
      <c r="D124" s="25" t="s">
        <v>510</v>
      </c>
      <c r="E124" s="25" t="s">
        <v>43</v>
      </c>
      <c r="F124" s="25" t="s">
        <v>511</v>
      </c>
      <c r="G124" s="25" t="s">
        <v>45</v>
      </c>
      <c r="H124" s="25" t="s">
        <v>512</v>
      </c>
      <c r="I124" s="26" t="s">
        <v>71</v>
      </c>
      <c r="J124" s="25" t="s">
        <v>486</v>
      </c>
      <c r="K124" s="25" t="s">
        <v>49</v>
      </c>
      <c r="L124" s="25" t="s">
        <v>50</v>
      </c>
      <c r="M124" s="25" t="s">
        <v>283</v>
      </c>
      <c r="N124" s="25" t="s">
        <v>283</v>
      </c>
      <c r="O124" s="25" t="s">
        <v>293</v>
      </c>
      <c r="P124" s="21" t="s">
        <v>53</v>
      </c>
      <c r="Q124" s="22">
        <v>0.04097222222222222</v>
      </c>
      <c r="R124" s="13">
        <v>0.03680555555555556</v>
      </c>
      <c r="S124" s="13">
        <f t="shared" ref="S124:S125" si="25">TIMEVALUE(Q124+R124)</f>
        <v>0.07777777778</v>
      </c>
      <c r="T124" s="25" t="s">
        <v>54</v>
      </c>
      <c r="U124" s="25" t="s">
        <v>72</v>
      </c>
      <c r="V124" s="13">
        <f t="shared" si="1"/>
        <v>0.07777777778</v>
      </c>
      <c r="W124" s="19" t="s">
        <v>56</v>
      </c>
      <c r="X124" s="20" t="s">
        <v>57</v>
      </c>
      <c r="Y124" s="25" t="s">
        <v>503</v>
      </c>
      <c r="Z124" s="14"/>
      <c r="AA124" s="27"/>
      <c r="AB124" s="26" t="s">
        <v>45</v>
      </c>
      <c r="AC124" s="28"/>
      <c r="AD124" s="19" t="s">
        <v>155</v>
      </c>
      <c r="AE124" s="19" t="s">
        <v>63</v>
      </c>
      <c r="AF124" s="14"/>
      <c r="AG124" s="14"/>
      <c r="AH124" s="14"/>
      <c r="AI124" s="14"/>
      <c r="AJ124" s="14"/>
      <c r="AK124" s="14"/>
      <c r="AL124" s="14"/>
      <c r="AM124" s="14"/>
    </row>
    <row r="125" ht="39.0" customHeight="1">
      <c r="A125" s="19" t="s">
        <v>508</v>
      </c>
      <c r="B125" s="12"/>
      <c r="C125" s="19" t="s">
        <v>509</v>
      </c>
      <c r="D125" s="19" t="s">
        <v>510</v>
      </c>
      <c r="E125" s="19" t="s">
        <v>43</v>
      </c>
      <c r="F125" s="19" t="s">
        <v>511</v>
      </c>
      <c r="G125" s="19" t="s">
        <v>45</v>
      </c>
      <c r="H125" s="19" t="s">
        <v>512</v>
      </c>
      <c r="I125" s="26" t="s">
        <v>71</v>
      </c>
      <c r="J125" s="19" t="s">
        <v>486</v>
      </c>
      <c r="K125" s="19" t="s">
        <v>49</v>
      </c>
      <c r="L125" s="19" t="s">
        <v>50</v>
      </c>
      <c r="M125" s="19" t="s">
        <v>283</v>
      </c>
      <c r="N125" s="19" t="s">
        <v>283</v>
      </c>
      <c r="O125" s="19" t="s">
        <v>293</v>
      </c>
      <c r="P125" s="21" t="s">
        <v>53</v>
      </c>
      <c r="Q125" s="22">
        <v>0.04097222222222222</v>
      </c>
      <c r="R125" s="13">
        <v>0.03680555555555556</v>
      </c>
      <c r="S125" s="13">
        <f t="shared" si="25"/>
        <v>0.07777777778</v>
      </c>
      <c r="T125" s="19" t="s">
        <v>54</v>
      </c>
      <c r="U125" s="12"/>
      <c r="V125" s="13">
        <f t="shared" si="1"/>
        <v>0.07777777778</v>
      </c>
      <c r="W125" s="19" t="s">
        <v>56</v>
      </c>
      <c r="X125" s="20" t="s">
        <v>57</v>
      </c>
      <c r="Y125" s="25" t="s">
        <v>503</v>
      </c>
      <c r="Z125" s="12"/>
      <c r="AA125" s="23"/>
      <c r="AB125" s="20" t="s">
        <v>45</v>
      </c>
      <c r="AC125" s="24"/>
      <c r="AD125" s="19" t="s">
        <v>155</v>
      </c>
      <c r="AE125" s="19" t="s">
        <v>63</v>
      </c>
      <c r="AF125" s="12"/>
      <c r="AG125" s="12"/>
      <c r="AH125" s="12"/>
      <c r="AI125" s="12"/>
      <c r="AJ125" s="12"/>
      <c r="AK125" s="12"/>
      <c r="AL125" s="12"/>
      <c r="AM125" s="12"/>
    </row>
    <row r="126" ht="39.0" customHeight="1">
      <c r="A126" s="25" t="s">
        <v>513</v>
      </c>
      <c r="B126" s="14"/>
      <c r="C126" s="25" t="s">
        <v>514</v>
      </c>
      <c r="D126" s="25" t="s">
        <v>515</v>
      </c>
      <c r="E126" s="25" t="s">
        <v>43</v>
      </c>
      <c r="F126" s="25" t="s">
        <v>516</v>
      </c>
      <c r="G126" s="25" t="s">
        <v>45</v>
      </c>
      <c r="H126" s="25" t="s">
        <v>517</v>
      </c>
      <c r="I126" s="26" t="s">
        <v>71</v>
      </c>
      <c r="J126" s="25" t="s">
        <v>486</v>
      </c>
      <c r="K126" s="25" t="s">
        <v>49</v>
      </c>
      <c r="L126" s="25" t="s">
        <v>50</v>
      </c>
      <c r="M126" s="25" t="s">
        <v>283</v>
      </c>
      <c r="N126" s="25" t="s">
        <v>283</v>
      </c>
      <c r="O126" s="25" t="s">
        <v>293</v>
      </c>
      <c r="P126" s="21" t="s">
        <v>53</v>
      </c>
      <c r="Q126" s="22">
        <v>0.04097222222222222</v>
      </c>
      <c r="R126" s="13">
        <v>0.03680555555555556</v>
      </c>
      <c r="S126" s="15">
        <f>Q126+R126</f>
        <v>0.07777777778</v>
      </c>
      <c r="T126" s="25" t="s">
        <v>54</v>
      </c>
      <c r="U126" s="25" t="s">
        <v>72</v>
      </c>
      <c r="V126" s="13">
        <f t="shared" si="1"/>
        <v>0.07777777778</v>
      </c>
      <c r="W126" s="19" t="s">
        <v>56</v>
      </c>
      <c r="X126" s="20" t="s">
        <v>57</v>
      </c>
      <c r="Y126" s="25" t="s">
        <v>503</v>
      </c>
      <c r="Z126" s="14"/>
      <c r="AA126" s="27"/>
      <c r="AB126" s="26" t="s">
        <v>45</v>
      </c>
      <c r="AC126" s="28"/>
      <c r="AD126" s="19" t="s">
        <v>155</v>
      </c>
      <c r="AE126" s="19" t="s">
        <v>63</v>
      </c>
      <c r="AF126" s="14"/>
      <c r="AG126" s="14"/>
      <c r="AH126" s="14"/>
      <c r="AI126" s="14"/>
      <c r="AJ126" s="14"/>
      <c r="AK126" s="14"/>
      <c r="AL126" s="14"/>
      <c r="AM126" s="14"/>
    </row>
    <row r="127" ht="39.0" customHeight="1">
      <c r="A127" s="19" t="s">
        <v>513</v>
      </c>
      <c r="B127" s="12"/>
      <c r="C127" s="19" t="s">
        <v>514</v>
      </c>
      <c r="D127" s="19" t="s">
        <v>515</v>
      </c>
      <c r="E127" s="19" t="s">
        <v>43</v>
      </c>
      <c r="F127" s="19" t="s">
        <v>516</v>
      </c>
      <c r="G127" s="19" t="s">
        <v>45</v>
      </c>
      <c r="H127" s="19" t="s">
        <v>517</v>
      </c>
      <c r="I127" s="26" t="s">
        <v>71</v>
      </c>
      <c r="J127" s="19" t="s">
        <v>486</v>
      </c>
      <c r="K127" s="19" t="s">
        <v>49</v>
      </c>
      <c r="L127" s="19" t="s">
        <v>50</v>
      </c>
      <c r="M127" s="19" t="s">
        <v>283</v>
      </c>
      <c r="N127" s="19" t="s">
        <v>283</v>
      </c>
      <c r="O127" s="19" t="s">
        <v>293</v>
      </c>
      <c r="P127" s="21" t="s">
        <v>53</v>
      </c>
      <c r="Q127" s="22">
        <v>0.04097222222222222</v>
      </c>
      <c r="R127" s="13">
        <v>0.03680555555555556</v>
      </c>
      <c r="S127" s="13">
        <f>TIMEVALUE(Q127+R127)</f>
        <v>0.07777777778</v>
      </c>
      <c r="T127" s="19" t="s">
        <v>54</v>
      </c>
      <c r="U127" s="12"/>
      <c r="V127" s="13">
        <f t="shared" si="1"/>
        <v>0.07777777778</v>
      </c>
      <c r="W127" s="19" t="s">
        <v>56</v>
      </c>
      <c r="X127" s="20" t="s">
        <v>57</v>
      </c>
      <c r="Y127" s="25" t="s">
        <v>503</v>
      </c>
      <c r="Z127" s="12"/>
      <c r="AA127" s="23"/>
      <c r="AB127" s="20" t="s">
        <v>45</v>
      </c>
      <c r="AC127" s="24"/>
      <c r="AD127" s="19" t="s">
        <v>155</v>
      </c>
      <c r="AE127" s="19" t="s">
        <v>63</v>
      </c>
      <c r="AF127" s="12"/>
      <c r="AG127" s="12"/>
      <c r="AH127" s="12"/>
      <c r="AI127" s="12"/>
      <c r="AJ127" s="12"/>
      <c r="AK127" s="12"/>
      <c r="AL127" s="12"/>
      <c r="AM127" s="12"/>
    </row>
    <row r="128" ht="39.0" customHeight="1">
      <c r="A128" s="19" t="s">
        <v>518</v>
      </c>
      <c r="B128" s="12"/>
      <c r="C128" s="19" t="s">
        <v>519</v>
      </c>
      <c r="D128" s="19" t="s">
        <v>520</v>
      </c>
      <c r="E128" s="19" t="s">
        <v>43</v>
      </c>
      <c r="F128" s="19" t="s">
        <v>521</v>
      </c>
      <c r="G128" s="19" t="s">
        <v>45</v>
      </c>
      <c r="H128" s="19" t="s">
        <v>522</v>
      </c>
      <c r="I128" s="26" t="s">
        <v>71</v>
      </c>
      <c r="J128" s="19" t="s">
        <v>486</v>
      </c>
      <c r="K128" s="19" t="s">
        <v>49</v>
      </c>
      <c r="L128" s="19" t="s">
        <v>50</v>
      </c>
      <c r="M128" s="19" t="s">
        <v>283</v>
      </c>
      <c r="N128" s="19" t="s">
        <v>283</v>
      </c>
      <c r="O128" s="19" t="s">
        <v>293</v>
      </c>
      <c r="P128" s="21" t="s">
        <v>53</v>
      </c>
      <c r="Q128" s="22">
        <v>0.04097222222222222</v>
      </c>
      <c r="R128" s="13">
        <v>0.03680555555555556</v>
      </c>
      <c r="S128" s="15">
        <f>Q128+R128</f>
        <v>0.07777777778</v>
      </c>
      <c r="T128" s="19" t="s">
        <v>54</v>
      </c>
      <c r="U128" s="19" t="s">
        <v>72</v>
      </c>
      <c r="V128" s="13">
        <f t="shared" si="1"/>
        <v>0.07777777778</v>
      </c>
      <c r="W128" s="19" t="s">
        <v>56</v>
      </c>
      <c r="X128" s="20" t="s">
        <v>57</v>
      </c>
      <c r="Y128" s="25" t="s">
        <v>503</v>
      </c>
      <c r="Z128" s="12"/>
      <c r="AA128" s="23"/>
      <c r="AB128" s="20" t="s">
        <v>45</v>
      </c>
      <c r="AC128" s="24"/>
      <c r="AD128" s="19" t="s">
        <v>155</v>
      </c>
      <c r="AE128" s="19" t="s">
        <v>63</v>
      </c>
      <c r="AF128" s="12"/>
      <c r="AG128" s="12"/>
      <c r="AH128" s="12"/>
      <c r="AI128" s="12"/>
      <c r="AJ128" s="12"/>
      <c r="AK128" s="12"/>
      <c r="AL128" s="12"/>
      <c r="AM128" s="12"/>
    </row>
    <row r="129" ht="39.0" customHeight="1">
      <c r="A129" s="25" t="s">
        <v>518</v>
      </c>
      <c r="B129" s="14"/>
      <c r="C129" s="25" t="s">
        <v>519</v>
      </c>
      <c r="D129" s="25" t="s">
        <v>520</v>
      </c>
      <c r="E129" s="25" t="s">
        <v>43</v>
      </c>
      <c r="F129" s="25" t="s">
        <v>521</v>
      </c>
      <c r="G129" s="25" t="s">
        <v>45</v>
      </c>
      <c r="H129" s="25" t="s">
        <v>522</v>
      </c>
      <c r="I129" s="26" t="s">
        <v>71</v>
      </c>
      <c r="J129" s="25" t="s">
        <v>486</v>
      </c>
      <c r="K129" s="25" t="s">
        <v>49</v>
      </c>
      <c r="L129" s="25" t="s">
        <v>50</v>
      </c>
      <c r="M129" s="25" t="s">
        <v>283</v>
      </c>
      <c r="N129" s="25" t="s">
        <v>283</v>
      </c>
      <c r="O129" s="25" t="s">
        <v>293</v>
      </c>
      <c r="P129" s="21" t="s">
        <v>53</v>
      </c>
      <c r="Q129" s="22">
        <v>0.04097222222222222</v>
      </c>
      <c r="R129" s="13">
        <v>0.03680555555555556</v>
      </c>
      <c r="S129" s="13">
        <f t="shared" ref="S129:S130" si="26">TIMEVALUE(Q129+R129)</f>
        <v>0.07777777778</v>
      </c>
      <c r="T129" s="25" t="s">
        <v>54</v>
      </c>
      <c r="U129" s="14"/>
      <c r="V129" s="13">
        <f t="shared" si="1"/>
        <v>0.07777777778</v>
      </c>
      <c r="W129" s="19" t="s">
        <v>56</v>
      </c>
      <c r="X129" s="20" t="s">
        <v>57</v>
      </c>
      <c r="Y129" s="25" t="s">
        <v>503</v>
      </c>
      <c r="Z129" s="14"/>
      <c r="AA129" s="27"/>
      <c r="AB129" s="26" t="s">
        <v>45</v>
      </c>
      <c r="AC129" s="28"/>
      <c r="AD129" s="19" t="s">
        <v>155</v>
      </c>
      <c r="AE129" s="19" t="s">
        <v>63</v>
      </c>
      <c r="AF129" s="14"/>
      <c r="AG129" s="14"/>
      <c r="AH129" s="14"/>
      <c r="AI129" s="14"/>
      <c r="AJ129" s="14"/>
      <c r="AK129" s="14"/>
      <c r="AL129" s="14"/>
      <c r="AM129" s="14"/>
    </row>
    <row r="130" ht="39.0" customHeight="1">
      <c r="A130" s="19" t="s">
        <v>523</v>
      </c>
      <c r="B130" s="12"/>
      <c r="C130" s="19" t="s">
        <v>146</v>
      </c>
      <c r="D130" s="19" t="s">
        <v>524</v>
      </c>
      <c r="E130" s="19" t="s">
        <v>43</v>
      </c>
      <c r="F130" s="19" t="s">
        <v>525</v>
      </c>
      <c r="G130" s="19" t="s">
        <v>45</v>
      </c>
      <c r="H130" s="19" t="s">
        <v>526</v>
      </c>
      <c r="I130" s="26" t="s">
        <v>71</v>
      </c>
      <c r="J130" s="19" t="s">
        <v>486</v>
      </c>
      <c r="K130" s="19" t="s">
        <v>49</v>
      </c>
      <c r="L130" s="19" t="s">
        <v>50</v>
      </c>
      <c r="M130" s="19" t="s">
        <v>283</v>
      </c>
      <c r="N130" s="19" t="s">
        <v>283</v>
      </c>
      <c r="O130" s="19" t="s">
        <v>293</v>
      </c>
      <c r="P130" s="21" t="s">
        <v>53</v>
      </c>
      <c r="Q130" s="22">
        <v>0.04097222222222222</v>
      </c>
      <c r="R130" s="13">
        <v>0.03680555555555556</v>
      </c>
      <c r="S130" s="13">
        <f t="shared" si="26"/>
        <v>0.07777777778</v>
      </c>
      <c r="T130" s="19" t="s">
        <v>527</v>
      </c>
      <c r="U130" s="19" t="s">
        <v>72</v>
      </c>
      <c r="V130" s="13">
        <f t="shared" si="1"/>
        <v>0.07777777778</v>
      </c>
      <c r="W130" s="19" t="s">
        <v>56</v>
      </c>
      <c r="X130" s="20" t="s">
        <v>57</v>
      </c>
      <c r="Y130" s="25" t="s">
        <v>503</v>
      </c>
      <c r="Z130" s="12"/>
      <c r="AA130" s="23"/>
      <c r="AB130" s="20" t="s">
        <v>45</v>
      </c>
      <c r="AC130" s="24"/>
      <c r="AD130" s="19" t="s">
        <v>155</v>
      </c>
      <c r="AE130" s="19" t="s">
        <v>63</v>
      </c>
      <c r="AF130" s="12"/>
      <c r="AG130" s="12"/>
      <c r="AH130" s="12"/>
      <c r="AI130" s="12"/>
      <c r="AJ130" s="12"/>
      <c r="AK130" s="12"/>
      <c r="AL130" s="12"/>
      <c r="AM130" s="12"/>
    </row>
    <row r="131" ht="39.0" customHeight="1">
      <c r="A131" s="25" t="s">
        <v>523</v>
      </c>
      <c r="B131" s="14"/>
      <c r="C131" s="25" t="s">
        <v>146</v>
      </c>
      <c r="D131" s="25" t="s">
        <v>524</v>
      </c>
      <c r="E131" s="25" t="s">
        <v>43</v>
      </c>
      <c r="F131" s="25" t="s">
        <v>525</v>
      </c>
      <c r="G131" s="25" t="s">
        <v>45</v>
      </c>
      <c r="H131" s="25" t="s">
        <v>526</v>
      </c>
      <c r="I131" s="26" t="s">
        <v>71</v>
      </c>
      <c r="J131" s="25" t="s">
        <v>486</v>
      </c>
      <c r="K131" s="25" t="s">
        <v>49</v>
      </c>
      <c r="L131" s="25" t="s">
        <v>50</v>
      </c>
      <c r="M131" s="25" t="s">
        <v>283</v>
      </c>
      <c r="N131" s="25" t="s">
        <v>283</v>
      </c>
      <c r="O131" s="25" t="s">
        <v>293</v>
      </c>
      <c r="P131" s="21" t="s">
        <v>53</v>
      </c>
      <c r="Q131" s="22">
        <v>0.04097222222222222</v>
      </c>
      <c r="R131" s="13">
        <v>0.03680555555555556</v>
      </c>
      <c r="S131" s="15">
        <f>Q131+R131</f>
        <v>0.07777777778</v>
      </c>
      <c r="T131" s="14"/>
      <c r="U131" s="14"/>
      <c r="V131" s="13">
        <f t="shared" si="1"/>
        <v>0.07777777778</v>
      </c>
      <c r="W131" s="19" t="s">
        <v>56</v>
      </c>
      <c r="X131" s="20" t="s">
        <v>57</v>
      </c>
      <c r="Y131" s="25" t="s">
        <v>503</v>
      </c>
      <c r="Z131" s="14"/>
      <c r="AA131" s="27"/>
      <c r="AB131" s="26" t="s">
        <v>45</v>
      </c>
      <c r="AC131" s="28"/>
      <c r="AD131" s="19" t="s">
        <v>155</v>
      </c>
      <c r="AE131" s="19" t="s">
        <v>63</v>
      </c>
      <c r="AF131" s="14"/>
      <c r="AG131" s="14"/>
      <c r="AH131" s="14"/>
      <c r="AI131" s="14"/>
      <c r="AJ131" s="14"/>
      <c r="AK131" s="14"/>
      <c r="AL131" s="14"/>
      <c r="AM131" s="14"/>
    </row>
    <row r="132" ht="52.5" customHeight="1">
      <c r="A132" s="25" t="s">
        <v>528</v>
      </c>
      <c r="B132" s="14"/>
      <c r="C132" s="25" t="s">
        <v>529</v>
      </c>
      <c r="D132" s="25" t="s">
        <v>530</v>
      </c>
      <c r="E132" s="25" t="s">
        <v>43</v>
      </c>
      <c r="F132" s="25" t="s">
        <v>531</v>
      </c>
      <c r="G132" s="25" t="s">
        <v>45</v>
      </c>
      <c r="H132" s="25" t="s">
        <v>532</v>
      </c>
      <c r="I132" s="26" t="s">
        <v>71</v>
      </c>
      <c r="J132" s="25" t="s">
        <v>486</v>
      </c>
      <c r="K132" s="25" t="s">
        <v>49</v>
      </c>
      <c r="L132" s="25" t="s">
        <v>50</v>
      </c>
      <c r="M132" s="25" t="s">
        <v>283</v>
      </c>
      <c r="N132" s="25" t="s">
        <v>283</v>
      </c>
      <c r="O132" s="25" t="s">
        <v>293</v>
      </c>
      <c r="P132" s="21" t="s">
        <v>53</v>
      </c>
      <c r="Q132" s="22">
        <v>0.04097222222222222</v>
      </c>
      <c r="R132" s="13">
        <v>0.03680555555555556</v>
      </c>
      <c r="S132" s="13">
        <f>TIMEVALUE(Q132+R132)</f>
        <v>0.07777777778</v>
      </c>
      <c r="T132" s="25" t="s">
        <v>118</v>
      </c>
      <c r="U132" s="25" t="s">
        <v>72</v>
      </c>
      <c r="V132" s="13">
        <f t="shared" si="1"/>
        <v>0.07777777778</v>
      </c>
      <c r="W132" s="19" t="s">
        <v>56</v>
      </c>
      <c r="X132" s="20" t="s">
        <v>57</v>
      </c>
      <c r="Y132" s="25" t="s">
        <v>503</v>
      </c>
      <c r="Z132" s="14"/>
      <c r="AA132" s="27"/>
      <c r="AB132" s="26" t="s">
        <v>45</v>
      </c>
      <c r="AC132" s="28"/>
      <c r="AD132" s="19" t="s">
        <v>155</v>
      </c>
      <c r="AE132" s="19" t="s">
        <v>63</v>
      </c>
      <c r="AF132" s="14"/>
      <c r="AG132" s="14"/>
      <c r="AH132" s="14"/>
      <c r="AI132" s="14"/>
      <c r="AJ132" s="14"/>
      <c r="AK132" s="14"/>
      <c r="AL132" s="14"/>
      <c r="AM132" s="14"/>
    </row>
    <row r="133" ht="39.0" customHeight="1">
      <c r="A133" s="19" t="s">
        <v>528</v>
      </c>
      <c r="B133" s="12"/>
      <c r="C133" s="19" t="s">
        <v>529</v>
      </c>
      <c r="D133" s="19" t="s">
        <v>530</v>
      </c>
      <c r="E133" s="19" t="s">
        <v>43</v>
      </c>
      <c r="F133" s="19" t="s">
        <v>531</v>
      </c>
      <c r="G133" s="19" t="s">
        <v>45</v>
      </c>
      <c r="H133" s="19" t="s">
        <v>532</v>
      </c>
      <c r="I133" s="26" t="s">
        <v>71</v>
      </c>
      <c r="J133" s="19" t="s">
        <v>486</v>
      </c>
      <c r="K133" s="19" t="s">
        <v>49</v>
      </c>
      <c r="L133" s="19" t="s">
        <v>50</v>
      </c>
      <c r="M133" s="19" t="s">
        <v>283</v>
      </c>
      <c r="N133" s="19" t="s">
        <v>283</v>
      </c>
      <c r="O133" s="19" t="s">
        <v>293</v>
      </c>
      <c r="P133" s="21" t="s">
        <v>53</v>
      </c>
      <c r="Q133" s="22">
        <v>0.04097222222222222</v>
      </c>
      <c r="R133" s="13">
        <v>0.03680555555555556</v>
      </c>
      <c r="S133" s="15">
        <f>Q133+R133</f>
        <v>0.07777777778</v>
      </c>
      <c r="T133" s="12"/>
      <c r="U133" s="12"/>
      <c r="V133" s="13">
        <f t="shared" si="1"/>
        <v>0.07777777778</v>
      </c>
      <c r="W133" s="19" t="s">
        <v>56</v>
      </c>
      <c r="X133" s="20" t="s">
        <v>57</v>
      </c>
      <c r="Y133" s="25" t="s">
        <v>503</v>
      </c>
      <c r="Z133" s="12"/>
      <c r="AA133" s="23"/>
      <c r="AB133" s="20" t="s">
        <v>45</v>
      </c>
      <c r="AC133" s="24"/>
      <c r="AD133" s="19" t="s">
        <v>155</v>
      </c>
      <c r="AE133" s="19" t="s">
        <v>63</v>
      </c>
      <c r="AF133" s="12"/>
      <c r="AG133" s="12"/>
      <c r="AH133" s="12"/>
      <c r="AI133" s="12"/>
      <c r="AJ133" s="12"/>
      <c r="AK133" s="12"/>
      <c r="AL133" s="12"/>
      <c r="AM133" s="12"/>
    </row>
    <row r="134" ht="39.0" customHeight="1">
      <c r="A134" s="25" t="s">
        <v>533</v>
      </c>
      <c r="B134" s="14"/>
      <c r="C134" s="25" t="s">
        <v>493</v>
      </c>
      <c r="D134" s="25" t="s">
        <v>534</v>
      </c>
      <c r="E134" s="25" t="s">
        <v>43</v>
      </c>
      <c r="F134" s="25" t="s">
        <v>535</v>
      </c>
      <c r="G134" s="25" t="s">
        <v>45</v>
      </c>
      <c r="H134" s="25" t="s">
        <v>536</v>
      </c>
      <c r="I134" s="26" t="s">
        <v>71</v>
      </c>
      <c r="J134" s="25" t="s">
        <v>486</v>
      </c>
      <c r="K134" s="25" t="s">
        <v>49</v>
      </c>
      <c r="L134" s="25" t="s">
        <v>50</v>
      </c>
      <c r="M134" s="25" t="s">
        <v>283</v>
      </c>
      <c r="N134" s="25" t="s">
        <v>283</v>
      </c>
      <c r="O134" s="25" t="s">
        <v>293</v>
      </c>
      <c r="P134" s="21" t="s">
        <v>53</v>
      </c>
      <c r="Q134" s="22">
        <v>0.04097222222222222</v>
      </c>
      <c r="R134" s="13">
        <v>0.03680555555555556</v>
      </c>
      <c r="S134" s="13">
        <f t="shared" ref="S134:S135" si="27">TIMEVALUE(Q134+R134)</f>
        <v>0.07777777778</v>
      </c>
      <c r="T134" s="25" t="s">
        <v>381</v>
      </c>
      <c r="U134" s="25" t="s">
        <v>72</v>
      </c>
      <c r="V134" s="13">
        <f t="shared" si="1"/>
        <v>0.07777777778</v>
      </c>
      <c r="W134" s="19" t="s">
        <v>56</v>
      </c>
      <c r="X134" s="20" t="s">
        <v>57</v>
      </c>
      <c r="Y134" s="25" t="s">
        <v>503</v>
      </c>
      <c r="Z134" s="14"/>
      <c r="AA134" s="27"/>
      <c r="AB134" s="26" t="s">
        <v>45</v>
      </c>
      <c r="AC134" s="28"/>
      <c r="AD134" s="19" t="s">
        <v>155</v>
      </c>
      <c r="AE134" s="19" t="s">
        <v>63</v>
      </c>
      <c r="AF134" s="14"/>
      <c r="AG134" s="14"/>
      <c r="AH134" s="14"/>
      <c r="AI134" s="14"/>
      <c r="AJ134" s="14"/>
      <c r="AK134" s="14"/>
      <c r="AL134" s="14"/>
      <c r="AM134" s="14"/>
    </row>
    <row r="135" ht="52.5" customHeight="1">
      <c r="A135" s="19" t="s">
        <v>533</v>
      </c>
      <c r="B135" s="12"/>
      <c r="C135" s="19" t="s">
        <v>493</v>
      </c>
      <c r="D135" s="19" t="s">
        <v>534</v>
      </c>
      <c r="E135" s="19" t="s">
        <v>43</v>
      </c>
      <c r="F135" s="19" t="s">
        <v>535</v>
      </c>
      <c r="G135" s="19" t="s">
        <v>45</v>
      </c>
      <c r="H135" s="19" t="s">
        <v>536</v>
      </c>
      <c r="I135" s="26" t="s">
        <v>71</v>
      </c>
      <c r="J135" s="19" t="s">
        <v>486</v>
      </c>
      <c r="K135" s="19" t="s">
        <v>49</v>
      </c>
      <c r="L135" s="19" t="s">
        <v>50</v>
      </c>
      <c r="M135" s="19" t="s">
        <v>283</v>
      </c>
      <c r="N135" s="19" t="s">
        <v>283</v>
      </c>
      <c r="O135" s="19" t="s">
        <v>293</v>
      </c>
      <c r="P135" s="21" t="s">
        <v>53</v>
      </c>
      <c r="Q135" s="22">
        <v>0.04097222222222222</v>
      </c>
      <c r="R135" s="13">
        <v>0.03680555555555556</v>
      </c>
      <c r="S135" s="13">
        <f t="shared" si="27"/>
        <v>0.07777777778</v>
      </c>
      <c r="T135" s="12"/>
      <c r="U135" s="12"/>
      <c r="V135" s="13">
        <f t="shared" si="1"/>
        <v>0.07777777778</v>
      </c>
      <c r="W135" s="19" t="s">
        <v>56</v>
      </c>
      <c r="X135" s="20" t="s">
        <v>57</v>
      </c>
      <c r="Y135" s="25" t="s">
        <v>503</v>
      </c>
      <c r="Z135" s="12"/>
      <c r="AA135" s="23"/>
      <c r="AB135" s="20" t="s">
        <v>45</v>
      </c>
      <c r="AC135" s="24"/>
      <c r="AD135" s="19" t="s">
        <v>155</v>
      </c>
      <c r="AE135" s="19" t="s">
        <v>63</v>
      </c>
      <c r="AF135" s="12"/>
      <c r="AG135" s="12"/>
      <c r="AH135" s="12"/>
      <c r="AI135" s="12"/>
      <c r="AJ135" s="12"/>
      <c r="AK135" s="12"/>
      <c r="AL135" s="12"/>
      <c r="AM135" s="12"/>
    </row>
    <row r="136" ht="104.25" customHeight="1">
      <c r="A136" s="19" t="s">
        <v>537</v>
      </c>
      <c r="B136" s="12"/>
      <c r="C136" s="19" t="s">
        <v>538</v>
      </c>
      <c r="D136" s="19" t="s">
        <v>539</v>
      </c>
      <c r="E136" s="19" t="s">
        <v>43</v>
      </c>
      <c r="F136" s="19" t="s">
        <v>540</v>
      </c>
      <c r="G136" s="19" t="s">
        <v>45</v>
      </c>
      <c r="H136" s="19" t="s">
        <v>541</v>
      </c>
      <c r="I136" s="26" t="s">
        <v>71</v>
      </c>
      <c r="J136" s="19" t="s">
        <v>486</v>
      </c>
      <c r="K136" s="19" t="s">
        <v>49</v>
      </c>
      <c r="L136" s="19" t="s">
        <v>50</v>
      </c>
      <c r="M136" s="19" t="s">
        <v>283</v>
      </c>
      <c r="N136" s="19" t="s">
        <v>283</v>
      </c>
      <c r="O136" s="19" t="s">
        <v>293</v>
      </c>
      <c r="P136" s="21" t="s">
        <v>53</v>
      </c>
      <c r="Q136" s="22">
        <v>0.04097222222222222</v>
      </c>
      <c r="R136" s="13">
        <v>0.03680555555555556</v>
      </c>
      <c r="S136" s="15">
        <f>Q136+R136</f>
        <v>0.07777777778</v>
      </c>
      <c r="T136" s="19" t="s">
        <v>118</v>
      </c>
      <c r="U136" s="19" t="s">
        <v>72</v>
      </c>
      <c r="V136" s="13">
        <f t="shared" si="1"/>
        <v>0.07777777778</v>
      </c>
      <c r="W136" s="19" t="s">
        <v>56</v>
      </c>
      <c r="X136" s="20" t="s">
        <v>57</v>
      </c>
      <c r="Y136" s="25" t="s">
        <v>503</v>
      </c>
      <c r="Z136" s="12"/>
      <c r="AA136" s="23"/>
      <c r="AB136" s="20" t="s">
        <v>45</v>
      </c>
      <c r="AC136" s="24"/>
      <c r="AD136" s="19" t="s">
        <v>155</v>
      </c>
      <c r="AE136" s="19" t="s">
        <v>63</v>
      </c>
      <c r="AF136" s="12"/>
      <c r="AG136" s="12"/>
      <c r="AH136" s="12"/>
      <c r="AI136" s="12"/>
      <c r="AJ136" s="12"/>
      <c r="AK136" s="12"/>
      <c r="AL136" s="12"/>
      <c r="AM136" s="12"/>
    </row>
    <row r="137" ht="104.25" customHeight="1">
      <c r="A137" s="25" t="s">
        <v>537</v>
      </c>
      <c r="B137" s="14"/>
      <c r="C137" s="25" t="s">
        <v>538</v>
      </c>
      <c r="D137" s="25" t="s">
        <v>539</v>
      </c>
      <c r="E137" s="25" t="s">
        <v>43</v>
      </c>
      <c r="F137" s="25" t="s">
        <v>540</v>
      </c>
      <c r="G137" s="25" t="s">
        <v>45</v>
      </c>
      <c r="H137" s="25" t="s">
        <v>541</v>
      </c>
      <c r="I137" s="26" t="s">
        <v>71</v>
      </c>
      <c r="J137" s="25" t="s">
        <v>486</v>
      </c>
      <c r="K137" s="25" t="s">
        <v>49</v>
      </c>
      <c r="L137" s="25" t="s">
        <v>50</v>
      </c>
      <c r="M137" s="25" t="s">
        <v>283</v>
      </c>
      <c r="N137" s="25" t="s">
        <v>283</v>
      </c>
      <c r="O137" s="25" t="s">
        <v>293</v>
      </c>
      <c r="P137" s="21" t="s">
        <v>53</v>
      </c>
      <c r="Q137" s="22">
        <v>0.04097222222222222</v>
      </c>
      <c r="R137" s="13">
        <v>0.03680555555555556</v>
      </c>
      <c r="S137" s="13">
        <f>TIMEVALUE(Q137+R137)</f>
        <v>0.07777777778</v>
      </c>
      <c r="T137" s="14"/>
      <c r="U137" s="14"/>
      <c r="V137" s="13">
        <f t="shared" si="1"/>
        <v>0.07777777778</v>
      </c>
      <c r="W137" s="19" t="s">
        <v>56</v>
      </c>
      <c r="X137" s="20" t="s">
        <v>57</v>
      </c>
      <c r="Y137" s="25" t="s">
        <v>503</v>
      </c>
      <c r="Z137" s="14"/>
      <c r="AA137" s="27"/>
      <c r="AB137" s="26" t="s">
        <v>45</v>
      </c>
      <c r="AC137" s="28"/>
      <c r="AD137" s="19" t="s">
        <v>155</v>
      </c>
      <c r="AE137" s="19" t="s">
        <v>63</v>
      </c>
      <c r="AF137" s="14"/>
      <c r="AG137" s="14"/>
      <c r="AH137" s="14"/>
      <c r="AI137" s="14"/>
      <c r="AJ137" s="14"/>
      <c r="AK137" s="14"/>
      <c r="AL137" s="14"/>
      <c r="AM137" s="14"/>
    </row>
    <row r="138" ht="104.25" customHeight="1">
      <c r="A138" s="19" t="s">
        <v>542</v>
      </c>
      <c r="B138" s="12"/>
      <c r="C138" s="19" t="s">
        <v>543</v>
      </c>
      <c r="D138" s="19" t="s">
        <v>544</v>
      </c>
      <c r="E138" s="19" t="s">
        <v>43</v>
      </c>
      <c r="F138" s="19" t="s">
        <v>545</v>
      </c>
      <c r="G138" s="19" t="s">
        <v>45</v>
      </c>
      <c r="H138" s="19" t="s">
        <v>546</v>
      </c>
      <c r="I138" s="26" t="s">
        <v>71</v>
      </c>
      <c r="J138" s="19" t="s">
        <v>486</v>
      </c>
      <c r="K138" s="19" t="s">
        <v>49</v>
      </c>
      <c r="L138" s="19" t="s">
        <v>50</v>
      </c>
      <c r="M138" s="19" t="s">
        <v>283</v>
      </c>
      <c r="N138" s="19" t="s">
        <v>283</v>
      </c>
      <c r="O138" s="19" t="s">
        <v>293</v>
      </c>
      <c r="P138" s="21" t="s">
        <v>53</v>
      </c>
      <c r="Q138" s="22">
        <v>0.04097222222222222</v>
      </c>
      <c r="R138" s="13">
        <v>0.03680555555555556</v>
      </c>
      <c r="S138" s="15">
        <f>Q138+R138</f>
        <v>0.07777777778</v>
      </c>
      <c r="T138" s="12"/>
      <c r="U138" s="12"/>
      <c r="V138" s="13">
        <f t="shared" si="1"/>
        <v>0.07777777778</v>
      </c>
      <c r="W138" s="19" t="s">
        <v>56</v>
      </c>
      <c r="X138" s="20" t="s">
        <v>57</v>
      </c>
      <c r="Y138" s="25" t="s">
        <v>503</v>
      </c>
      <c r="Z138" s="12"/>
      <c r="AA138" s="23"/>
      <c r="AB138" s="20" t="s">
        <v>45</v>
      </c>
      <c r="AC138" s="24"/>
      <c r="AD138" s="19" t="s">
        <v>155</v>
      </c>
      <c r="AE138" s="19" t="s">
        <v>63</v>
      </c>
      <c r="AF138" s="12"/>
      <c r="AG138" s="12"/>
      <c r="AH138" s="12"/>
      <c r="AI138" s="12"/>
      <c r="AJ138" s="12"/>
      <c r="AK138" s="12"/>
      <c r="AL138" s="12"/>
      <c r="AM138" s="12"/>
    </row>
    <row r="139" ht="104.25" customHeight="1">
      <c r="A139" s="25" t="s">
        <v>547</v>
      </c>
      <c r="B139" s="14"/>
      <c r="C139" s="25" t="s">
        <v>529</v>
      </c>
      <c r="D139" s="25" t="s">
        <v>548</v>
      </c>
      <c r="E139" s="25" t="s">
        <v>43</v>
      </c>
      <c r="F139" s="25" t="s">
        <v>549</v>
      </c>
      <c r="G139" s="25" t="s">
        <v>45</v>
      </c>
      <c r="H139" s="25" t="s">
        <v>550</v>
      </c>
      <c r="I139" s="26" t="s">
        <v>71</v>
      </c>
      <c r="J139" s="25" t="s">
        <v>486</v>
      </c>
      <c r="K139" s="25" t="s">
        <v>49</v>
      </c>
      <c r="L139" s="25" t="s">
        <v>50</v>
      </c>
      <c r="M139" s="25" t="s">
        <v>283</v>
      </c>
      <c r="N139" s="25" t="s">
        <v>283</v>
      </c>
      <c r="O139" s="25" t="s">
        <v>293</v>
      </c>
      <c r="P139" s="21" t="s">
        <v>53</v>
      </c>
      <c r="Q139" s="22">
        <v>0.04097222222222222</v>
      </c>
      <c r="R139" s="13">
        <v>0.03680555555555556</v>
      </c>
      <c r="S139" s="13">
        <f t="shared" ref="S139:S140" si="28">TIMEVALUE(Q139+R139)</f>
        <v>0.07777777778</v>
      </c>
      <c r="T139" s="25" t="s">
        <v>118</v>
      </c>
      <c r="U139" s="25" t="s">
        <v>72</v>
      </c>
      <c r="V139" s="13">
        <f t="shared" si="1"/>
        <v>0.07777777778</v>
      </c>
      <c r="W139" s="19" t="s">
        <v>56</v>
      </c>
      <c r="X139" s="20" t="s">
        <v>57</v>
      </c>
      <c r="Y139" s="25" t="s">
        <v>503</v>
      </c>
      <c r="Z139" s="14"/>
      <c r="AA139" s="27"/>
      <c r="AB139" s="26" t="s">
        <v>45</v>
      </c>
      <c r="AC139" s="28"/>
      <c r="AD139" s="19" t="s">
        <v>155</v>
      </c>
      <c r="AE139" s="19" t="s">
        <v>63</v>
      </c>
      <c r="AF139" s="14"/>
      <c r="AG139" s="14"/>
      <c r="AH139" s="14"/>
      <c r="AI139" s="14"/>
      <c r="AJ139" s="14"/>
      <c r="AK139" s="14"/>
      <c r="AL139" s="14"/>
      <c r="AM139" s="14"/>
    </row>
    <row r="140" ht="104.25" customHeight="1">
      <c r="A140" s="19" t="s">
        <v>547</v>
      </c>
      <c r="B140" s="12"/>
      <c r="C140" s="19" t="s">
        <v>529</v>
      </c>
      <c r="D140" s="19" t="s">
        <v>548</v>
      </c>
      <c r="E140" s="19" t="s">
        <v>43</v>
      </c>
      <c r="F140" s="19" t="s">
        <v>549</v>
      </c>
      <c r="G140" s="19" t="s">
        <v>45</v>
      </c>
      <c r="H140" s="19" t="s">
        <v>550</v>
      </c>
      <c r="I140" s="26" t="s">
        <v>71</v>
      </c>
      <c r="J140" s="19" t="s">
        <v>486</v>
      </c>
      <c r="K140" s="19" t="s">
        <v>49</v>
      </c>
      <c r="L140" s="19" t="s">
        <v>50</v>
      </c>
      <c r="M140" s="19" t="s">
        <v>283</v>
      </c>
      <c r="N140" s="19" t="s">
        <v>283</v>
      </c>
      <c r="O140" s="19" t="s">
        <v>293</v>
      </c>
      <c r="P140" s="21" t="s">
        <v>53</v>
      </c>
      <c r="Q140" s="22">
        <v>0.04097222222222222</v>
      </c>
      <c r="R140" s="13">
        <v>0.03680555555555556</v>
      </c>
      <c r="S140" s="13">
        <f t="shared" si="28"/>
        <v>0.07777777778</v>
      </c>
      <c r="T140" s="12"/>
      <c r="U140" s="12"/>
      <c r="V140" s="13">
        <f t="shared" si="1"/>
        <v>0.07777777778</v>
      </c>
      <c r="W140" s="19" t="s">
        <v>56</v>
      </c>
      <c r="X140" s="20" t="s">
        <v>57</v>
      </c>
      <c r="Y140" s="25" t="s">
        <v>503</v>
      </c>
      <c r="Z140" s="12"/>
      <c r="AA140" s="23"/>
      <c r="AB140" s="20" t="s">
        <v>45</v>
      </c>
      <c r="AC140" s="24"/>
      <c r="AD140" s="19" t="s">
        <v>155</v>
      </c>
      <c r="AE140" s="19" t="s">
        <v>63</v>
      </c>
      <c r="AF140" s="12"/>
      <c r="AG140" s="12"/>
      <c r="AH140" s="12"/>
      <c r="AI140" s="12"/>
      <c r="AJ140" s="12"/>
      <c r="AK140" s="12"/>
      <c r="AL140" s="12"/>
      <c r="AM140" s="12"/>
    </row>
    <row r="141" ht="65.25" customHeight="1">
      <c r="A141" s="25" t="s">
        <v>551</v>
      </c>
      <c r="B141" s="14"/>
      <c r="C141" s="25" t="s">
        <v>552</v>
      </c>
      <c r="D141" s="25" t="s">
        <v>553</v>
      </c>
      <c r="E141" s="25" t="s">
        <v>43</v>
      </c>
      <c r="F141" s="25" t="s">
        <v>554</v>
      </c>
      <c r="G141" s="25" t="s">
        <v>45</v>
      </c>
      <c r="H141" s="25" t="s">
        <v>555</v>
      </c>
      <c r="I141" s="26" t="s">
        <v>71</v>
      </c>
      <c r="J141" s="25" t="s">
        <v>486</v>
      </c>
      <c r="K141" s="25" t="s">
        <v>49</v>
      </c>
      <c r="L141" s="25" t="s">
        <v>50</v>
      </c>
      <c r="M141" s="25" t="s">
        <v>51</v>
      </c>
      <c r="N141" s="25" t="s">
        <v>51</v>
      </c>
      <c r="O141" s="25" t="s">
        <v>172</v>
      </c>
      <c r="P141" s="21" t="s">
        <v>53</v>
      </c>
      <c r="Q141" s="22">
        <v>0.04097222222222222</v>
      </c>
      <c r="R141" s="13">
        <v>0.03680555555555556</v>
      </c>
      <c r="S141" s="15">
        <f>Q141+R141</f>
        <v>0.07777777778</v>
      </c>
      <c r="T141" s="25" t="s">
        <v>118</v>
      </c>
      <c r="U141" s="25" t="s">
        <v>72</v>
      </c>
      <c r="V141" s="13">
        <f t="shared" si="1"/>
        <v>0.07777777778</v>
      </c>
      <c r="W141" s="19" t="s">
        <v>56</v>
      </c>
      <c r="X141" s="20" t="s">
        <v>57</v>
      </c>
      <c r="Y141" s="25" t="s">
        <v>503</v>
      </c>
      <c r="Z141" s="14"/>
      <c r="AA141" s="27"/>
      <c r="AB141" s="26" t="s">
        <v>45</v>
      </c>
      <c r="AC141" s="28"/>
      <c r="AD141" s="25" t="s">
        <v>98</v>
      </c>
      <c r="AE141" s="25" t="s">
        <v>155</v>
      </c>
      <c r="AF141" s="25" t="s">
        <v>82</v>
      </c>
      <c r="AG141" s="14"/>
      <c r="AH141" s="14"/>
      <c r="AI141" s="14"/>
      <c r="AJ141" s="14"/>
      <c r="AK141" s="14"/>
      <c r="AL141" s="14"/>
      <c r="AM141" s="14"/>
    </row>
    <row r="142" ht="65.25" customHeight="1">
      <c r="A142" s="19" t="s">
        <v>551</v>
      </c>
      <c r="B142" s="12"/>
      <c r="C142" s="19" t="s">
        <v>552</v>
      </c>
      <c r="D142" s="19" t="s">
        <v>553</v>
      </c>
      <c r="E142" s="19" t="s">
        <v>43</v>
      </c>
      <c r="F142" s="19" t="s">
        <v>554</v>
      </c>
      <c r="G142" s="19" t="s">
        <v>45</v>
      </c>
      <c r="H142" s="19" t="s">
        <v>555</v>
      </c>
      <c r="I142" s="26" t="s">
        <v>71</v>
      </c>
      <c r="J142" s="19" t="s">
        <v>486</v>
      </c>
      <c r="K142" s="19" t="s">
        <v>49</v>
      </c>
      <c r="L142" s="19" t="s">
        <v>50</v>
      </c>
      <c r="M142" s="19" t="s">
        <v>51</v>
      </c>
      <c r="N142" s="19" t="s">
        <v>51</v>
      </c>
      <c r="O142" s="19" t="s">
        <v>172</v>
      </c>
      <c r="P142" s="21" t="s">
        <v>53</v>
      </c>
      <c r="Q142" s="22">
        <v>0.04097222222222222</v>
      </c>
      <c r="R142" s="13">
        <v>0.03680555555555556</v>
      </c>
      <c r="S142" s="13">
        <f>TIMEVALUE(Q142+R142)</f>
        <v>0.07777777778</v>
      </c>
      <c r="T142" s="12"/>
      <c r="U142" s="12"/>
      <c r="V142" s="13">
        <f t="shared" si="1"/>
        <v>0.07777777778</v>
      </c>
      <c r="W142" s="19" t="s">
        <v>56</v>
      </c>
      <c r="X142" s="20" t="s">
        <v>57</v>
      </c>
      <c r="Y142" s="25" t="s">
        <v>503</v>
      </c>
      <c r="Z142" s="12"/>
      <c r="AA142" s="23"/>
      <c r="AB142" s="20" t="s">
        <v>45</v>
      </c>
      <c r="AC142" s="24"/>
      <c r="AD142" s="19" t="s">
        <v>98</v>
      </c>
      <c r="AE142" s="19" t="s">
        <v>155</v>
      </c>
      <c r="AF142" s="19" t="s">
        <v>82</v>
      </c>
      <c r="AG142" s="12"/>
      <c r="AH142" s="12"/>
      <c r="AI142" s="12"/>
      <c r="AJ142" s="12"/>
      <c r="AK142" s="12"/>
      <c r="AL142" s="12"/>
      <c r="AM142" s="12"/>
    </row>
    <row r="143" ht="52.5" customHeight="1">
      <c r="A143" s="25" t="s">
        <v>383</v>
      </c>
      <c r="B143" s="14"/>
      <c r="C143" s="25" t="s">
        <v>556</v>
      </c>
      <c r="D143" s="25" t="s">
        <v>557</v>
      </c>
      <c r="E143" s="25" t="s">
        <v>43</v>
      </c>
      <c r="F143" s="25" t="s">
        <v>558</v>
      </c>
      <c r="G143" s="25" t="s">
        <v>45</v>
      </c>
      <c r="H143" s="25" t="s">
        <v>559</v>
      </c>
      <c r="I143" s="26" t="s">
        <v>71</v>
      </c>
      <c r="J143" s="25" t="s">
        <v>486</v>
      </c>
      <c r="K143" s="25" t="s">
        <v>49</v>
      </c>
      <c r="L143" s="25" t="s">
        <v>50</v>
      </c>
      <c r="M143" s="25" t="s">
        <v>51</v>
      </c>
      <c r="N143" s="25" t="s">
        <v>51</v>
      </c>
      <c r="O143" s="25" t="s">
        <v>52</v>
      </c>
      <c r="P143" s="21" t="s">
        <v>53</v>
      </c>
      <c r="Q143" s="22">
        <v>0.04097222222222222</v>
      </c>
      <c r="R143" s="13">
        <v>0.03680555555555556</v>
      </c>
      <c r="S143" s="15">
        <f>Q143+R143</f>
        <v>0.07777777778</v>
      </c>
      <c r="T143" s="25" t="s">
        <v>118</v>
      </c>
      <c r="U143" s="25" t="s">
        <v>72</v>
      </c>
      <c r="V143" s="13">
        <f t="shared" si="1"/>
        <v>0.07777777778</v>
      </c>
      <c r="W143" s="19" t="s">
        <v>56</v>
      </c>
      <c r="X143" s="20" t="s">
        <v>57</v>
      </c>
      <c r="Y143" s="25" t="s">
        <v>503</v>
      </c>
      <c r="Z143" s="14"/>
      <c r="AA143" s="27"/>
      <c r="AB143" s="26" t="s">
        <v>45</v>
      </c>
      <c r="AC143" s="28"/>
      <c r="AD143" s="25" t="s">
        <v>63</v>
      </c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ht="52.5" customHeight="1">
      <c r="A144" s="19" t="s">
        <v>383</v>
      </c>
      <c r="B144" s="12"/>
      <c r="C144" s="19" t="s">
        <v>556</v>
      </c>
      <c r="D144" s="19" t="s">
        <v>557</v>
      </c>
      <c r="E144" s="19" t="s">
        <v>43</v>
      </c>
      <c r="F144" s="19" t="s">
        <v>558</v>
      </c>
      <c r="G144" s="19" t="s">
        <v>45</v>
      </c>
      <c r="H144" s="19" t="s">
        <v>559</v>
      </c>
      <c r="I144" s="26" t="s">
        <v>71</v>
      </c>
      <c r="J144" s="19" t="s">
        <v>486</v>
      </c>
      <c r="K144" s="19" t="s">
        <v>49</v>
      </c>
      <c r="L144" s="19" t="s">
        <v>50</v>
      </c>
      <c r="M144" s="19" t="s">
        <v>51</v>
      </c>
      <c r="N144" s="19" t="s">
        <v>51</v>
      </c>
      <c r="O144" s="19" t="s">
        <v>52</v>
      </c>
      <c r="P144" s="21" t="s">
        <v>53</v>
      </c>
      <c r="Q144" s="22">
        <v>0.04097222222222222</v>
      </c>
      <c r="R144" s="13">
        <v>0.03680555555555556</v>
      </c>
      <c r="S144" s="13">
        <f t="shared" ref="S144:S145" si="29">TIMEVALUE(Q144+R144)</f>
        <v>0.07777777778</v>
      </c>
      <c r="T144" s="12"/>
      <c r="U144" s="12"/>
      <c r="V144" s="13">
        <f t="shared" si="1"/>
        <v>0.07777777778</v>
      </c>
      <c r="W144" s="19" t="s">
        <v>56</v>
      </c>
      <c r="X144" s="20" t="s">
        <v>57</v>
      </c>
      <c r="Y144" s="25" t="s">
        <v>503</v>
      </c>
      <c r="Z144" s="12"/>
      <c r="AA144" s="23"/>
      <c r="AB144" s="20" t="s">
        <v>45</v>
      </c>
      <c r="AC144" s="24"/>
      <c r="AD144" s="19" t="s">
        <v>63</v>
      </c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ht="39.0" customHeight="1">
      <c r="A145" s="25" t="s">
        <v>560</v>
      </c>
      <c r="B145" s="14"/>
      <c r="C145" s="25" t="s">
        <v>561</v>
      </c>
      <c r="D145" s="25" t="s">
        <v>562</v>
      </c>
      <c r="E145" s="25" t="s">
        <v>43</v>
      </c>
      <c r="F145" s="25" t="s">
        <v>563</v>
      </c>
      <c r="G145" s="25" t="s">
        <v>45</v>
      </c>
      <c r="H145" s="25" t="s">
        <v>564</v>
      </c>
      <c r="I145" s="26" t="s">
        <v>71</v>
      </c>
      <c r="J145" s="25" t="s">
        <v>486</v>
      </c>
      <c r="K145" s="25" t="s">
        <v>49</v>
      </c>
      <c r="L145" s="25" t="s">
        <v>50</v>
      </c>
      <c r="M145" s="25" t="s">
        <v>283</v>
      </c>
      <c r="N145" s="25" t="s">
        <v>283</v>
      </c>
      <c r="O145" s="25" t="s">
        <v>293</v>
      </c>
      <c r="P145" s="21" t="s">
        <v>53</v>
      </c>
      <c r="Q145" s="22">
        <v>0.04097222222222222</v>
      </c>
      <c r="R145" s="13">
        <v>0.03680555555555556</v>
      </c>
      <c r="S145" s="13">
        <f t="shared" si="29"/>
        <v>0.07777777778</v>
      </c>
      <c r="T145" s="25" t="s">
        <v>118</v>
      </c>
      <c r="U145" s="25" t="s">
        <v>72</v>
      </c>
      <c r="V145" s="13">
        <f t="shared" si="1"/>
        <v>0.07777777778</v>
      </c>
      <c r="W145" s="19" t="s">
        <v>56</v>
      </c>
      <c r="X145" s="20" t="s">
        <v>57</v>
      </c>
      <c r="Y145" s="25" t="s">
        <v>503</v>
      </c>
      <c r="Z145" s="14"/>
      <c r="AA145" s="27"/>
      <c r="AB145" s="26" t="s">
        <v>45</v>
      </c>
      <c r="AC145" s="28"/>
      <c r="AD145" s="19" t="s">
        <v>155</v>
      </c>
      <c r="AE145" s="19" t="s">
        <v>63</v>
      </c>
      <c r="AF145" s="14"/>
      <c r="AG145" s="14"/>
      <c r="AH145" s="14"/>
      <c r="AI145" s="14"/>
      <c r="AJ145" s="14"/>
      <c r="AK145" s="14"/>
      <c r="AL145" s="14"/>
      <c r="AM145" s="14"/>
    </row>
    <row r="146" ht="39.0" customHeight="1">
      <c r="A146" s="25" t="s">
        <v>565</v>
      </c>
      <c r="B146" s="14"/>
      <c r="C146" s="25" t="s">
        <v>566</v>
      </c>
      <c r="D146" s="25" t="s">
        <v>567</v>
      </c>
      <c r="E146" s="25" t="s">
        <v>43</v>
      </c>
      <c r="F146" s="25" t="s">
        <v>568</v>
      </c>
      <c r="G146" s="25" t="s">
        <v>45</v>
      </c>
      <c r="H146" s="25" t="s">
        <v>569</v>
      </c>
      <c r="I146" s="26" t="s">
        <v>71</v>
      </c>
      <c r="J146" s="25" t="s">
        <v>486</v>
      </c>
      <c r="K146" s="25" t="s">
        <v>49</v>
      </c>
      <c r="L146" s="25" t="s">
        <v>50</v>
      </c>
      <c r="M146" s="25" t="s">
        <v>283</v>
      </c>
      <c r="N146" s="25" t="s">
        <v>283</v>
      </c>
      <c r="O146" s="25" t="s">
        <v>293</v>
      </c>
      <c r="P146" s="21" t="s">
        <v>53</v>
      </c>
      <c r="Q146" s="22">
        <v>0.04097222222222222</v>
      </c>
      <c r="R146" s="13">
        <v>0.03680555555555556</v>
      </c>
      <c r="S146" s="15">
        <f>Q146+R146</f>
        <v>0.07777777778</v>
      </c>
      <c r="T146" s="25" t="s">
        <v>381</v>
      </c>
      <c r="U146" s="25" t="s">
        <v>72</v>
      </c>
      <c r="V146" s="13">
        <f t="shared" si="1"/>
        <v>0.07777777778</v>
      </c>
      <c r="W146" s="19" t="s">
        <v>56</v>
      </c>
      <c r="X146" s="20" t="s">
        <v>57</v>
      </c>
      <c r="Y146" s="25" t="s">
        <v>503</v>
      </c>
      <c r="Z146" s="14"/>
      <c r="AA146" s="27"/>
      <c r="AB146" s="26" t="s">
        <v>45</v>
      </c>
      <c r="AC146" s="28"/>
      <c r="AD146" s="19" t="s">
        <v>155</v>
      </c>
      <c r="AE146" s="19" t="s">
        <v>63</v>
      </c>
      <c r="AF146" s="14"/>
      <c r="AG146" s="14"/>
      <c r="AH146" s="14"/>
      <c r="AI146" s="14"/>
      <c r="AJ146" s="14"/>
      <c r="AK146" s="14"/>
      <c r="AL146" s="14"/>
      <c r="AM146" s="14"/>
    </row>
    <row r="147" ht="39.0" customHeight="1">
      <c r="A147" s="19" t="s">
        <v>565</v>
      </c>
      <c r="B147" s="12"/>
      <c r="C147" s="19" t="s">
        <v>566</v>
      </c>
      <c r="D147" s="19" t="s">
        <v>567</v>
      </c>
      <c r="E147" s="19" t="s">
        <v>43</v>
      </c>
      <c r="F147" s="19" t="s">
        <v>568</v>
      </c>
      <c r="G147" s="19" t="s">
        <v>45</v>
      </c>
      <c r="H147" s="19" t="s">
        <v>569</v>
      </c>
      <c r="I147" s="26" t="s">
        <v>71</v>
      </c>
      <c r="J147" s="19" t="s">
        <v>486</v>
      </c>
      <c r="K147" s="19" t="s">
        <v>49</v>
      </c>
      <c r="L147" s="19" t="s">
        <v>50</v>
      </c>
      <c r="M147" s="19" t="s">
        <v>283</v>
      </c>
      <c r="N147" s="19" t="s">
        <v>283</v>
      </c>
      <c r="O147" s="19" t="s">
        <v>293</v>
      </c>
      <c r="P147" s="21" t="s">
        <v>53</v>
      </c>
      <c r="Q147" s="22">
        <v>0.04097222222222222</v>
      </c>
      <c r="R147" s="13">
        <v>0.03680555555555556</v>
      </c>
      <c r="S147" s="13">
        <f>TIMEVALUE(Q147+R147)</f>
        <v>0.07777777778</v>
      </c>
      <c r="T147" s="12"/>
      <c r="U147" s="12"/>
      <c r="V147" s="13">
        <f t="shared" si="1"/>
        <v>0.07777777778</v>
      </c>
      <c r="W147" s="19" t="s">
        <v>56</v>
      </c>
      <c r="X147" s="20" t="s">
        <v>57</v>
      </c>
      <c r="Y147" s="25" t="s">
        <v>503</v>
      </c>
      <c r="Z147" s="12"/>
      <c r="AA147" s="23"/>
      <c r="AB147" s="20" t="s">
        <v>45</v>
      </c>
      <c r="AC147" s="24"/>
      <c r="AD147" s="19" t="s">
        <v>155</v>
      </c>
      <c r="AE147" s="19" t="s">
        <v>63</v>
      </c>
      <c r="AF147" s="12"/>
      <c r="AG147" s="12"/>
      <c r="AH147" s="12"/>
      <c r="AI147" s="12"/>
      <c r="AJ147" s="12"/>
      <c r="AK147" s="12"/>
      <c r="AL147" s="12"/>
      <c r="AM147" s="12"/>
    </row>
    <row r="148" ht="39.0" customHeight="1">
      <c r="A148" s="25" t="s">
        <v>570</v>
      </c>
      <c r="B148" s="14"/>
      <c r="C148" s="25" t="s">
        <v>571</v>
      </c>
      <c r="D148" s="25" t="s">
        <v>572</v>
      </c>
      <c r="E148" s="25" t="s">
        <v>43</v>
      </c>
      <c r="F148" s="25" t="s">
        <v>573</v>
      </c>
      <c r="G148" s="25" t="s">
        <v>45</v>
      </c>
      <c r="H148" s="25" t="s">
        <v>574</v>
      </c>
      <c r="I148" s="26" t="s">
        <v>71</v>
      </c>
      <c r="J148" s="25" t="s">
        <v>486</v>
      </c>
      <c r="K148" s="25" t="s">
        <v>49</v>
      </c>
      <c r="L148" s="25" t="s">
        <v>50</v>
      </c>
      <c r="M148" s="25" t="s">
        <v>283</v>
      </c>
      <c r="N148" s="25" t="s">
        <v>283</v>
      </c>
      <c r="O148" s="25" t="s">
        <v>293</v>
      </c>
      <c r="P148" s="21" t="s">
        <v>53</v>
      </c>
      <c r="Q148" s="22">
        <v>0.04097222222222222</v>
      </c>
      <c r="R148" s="13">
        <v>0.03680555555555556</v>
      </c>
      <c r="S148" s="15">
        <f>Q148+R148</f>
        <v>0.07777777778</v>
      </c>
      <c r="T148" s="25" t="s">
        <v>575</v>
      </c>
      <c r="U148" s="25" t="s">
        <v>72</v>
      </c>
      <c r="V148" s="13">
        <f t="shared" si="1"/>
        <v>0.07777777778</v>
      </c>
      <c r="W148" s="19" t="s">
        <v>56</v>
      </c>
      <c r="X148" s="20" t="s">
        <v>57</v>
      </c>
      <c r="Y148" s="25" t="s">
        <v>503</v>
      </c>
      <c r="Z148" s="14"/>
      <c r="AA148" s="27"/>
      <c r="AB148" s="26" t="s">
        <v>45</v>
      </c>
      <c r="AC148" s="28"/>
      <c r="AD148" s="19" t="s">
        <v>155</v>
      </c>
      <c r="AE148" s="19" t="s">
        <v>63</v>
      </c>
      <c r="AF148" s="14"/>
      <c r="AG148" s="14"/>
      <c r="AH148" s="14"/>
      <c r="AI148" s="14"/>
      <c r="AJ148" s="14"/>
      <c r="AK148" s="14"/>
      <c r="AL148" s="14"/>
      <c r="AM148" s="14"/>
    </row>
    <row r="149" ht="39.0" customHeight="1">
      <c r="A149" s="19" t="s">
        <v>570</v>
      </c>
      <c r="B149" s="12"/>
      <c r="C149" s="19" t="s">
        <v>571</v>
      </c>
      <c r="D149" s="19" t="s">
        <v>572</v>
      </c>
      <c r="E149" s="19" t="s">
        <v>43</v>
      </c>
      <c r="F149" s="19" t="s">
        <v>573</v>
      </c>
      <c r="G149" s="19" t="s">
        <v>45</v>
      </c>
      <c r="H149" s="19" t="s">
        <v>574</v>
      </c>
      <c r="I149" s="26" t="s">
        <v>71</v>
      </c>
      <c r="J149" s="19" t="s">
        <v>486</v>
      </c>
      <c r="K149" s="19" t="s">
        <v>49</v>
      </c>
      <c r="L149" s="19" t="s">
        <v>50</v>
      </c>
      <c r="M149" s="19" t="s">
        <v>283</v>
      </c>
      <c r="N149" s="19" t="s">
        <v>283</v>
      </c>
      <c r="O149" s="19" t="s">
        <v>293</v>
      </c>
      <c r="P149" s="21" t="s">
        <v>53</v>
      </c>
      <c r="Q149" s="22">
        <v>0.04097222222222222</v>
      </c>
      <c r="R149" s="13">
        <v>0.03680555555555556</v>
      </c>
      <c r="S149" s="13">
        <f t="shared" ref="S149:S150" si="30">TIMEVALUE(Q149+R149)</f>
        <v>0.07777777778</v>
      </c>
      <c r="T149" s="12"/>
      <c r="U149" s="12"/>
      <c r="V149" s="13">
        <f t="shared" si="1"/>
        <v>0.07777777778</v>
      </c>
      <c r="W149" s="19" t="s">
        <v>56</v>
      </c>
      <c r="X149" s="20" t="s">
        <v>57</v>
      </c>
      <c r="Y149" s="25" t="s">
        <v>503</v>
      </c>
      <c r="Z149" s="12"/>
      <c r="AA149" s="23"/>
      <c r="AB149" s="20" t="s">
        <v>45</v>
      </c>
      <c r="AC149" s="24"/>
      <c r="AD149" s="19" t="s">
        <v>155</v>
      </c>
      <c r="AE149" s="19" t="s">
        <v>63</v>
      </c>
      <c r="AF149" s="12"/>
      <c r="AG149" s="12"/>
      <c r="AH149" s="12"/>
      <c r="AI149" s="12"/>
      <c r="AJ149" s="12"/>
      <c r="AK149" s="12"/>
      <c r="AL149" s="12"/>
      <c r="AM149" s="12"/>
    </row>
    <row r="150" ht="39.0" customHeight="1">
      <c r="A150" s="25" t="s">
        <v>576</v>
      </c>
      <c r="B150" s="14"/>
      <c r="C150" s="25" t="s">
        <v>577</v>
      </c>
      <c r="D150" s="25" t="s">
        <v>578</v>
      </c>
      <c r="E150" s="25" t="s">
        <v>43</v>
      </c>
      <c r="F150" s="25" t="s">
        <v>579</v>
      </c>
      <c r="G150" s="25" t="s">
        <v>45</v>
      </c>
      <c r="H150" s="25" t="s">
        <v>580</v>
      </c>
      <c r="I150" s="26" t="s">
        <v>71</v>
      </c>
      <c r="J150" s="25" t="s">
        <v>486</v>
      </c>
      <c r="K150" s="25" t="s">
        <v>49</v>
      </c>
      <c r="L150" s="25" t="s">
        <v>50</v>
      </c>
      <c r="M150" s="25" t="s">
        <v>283</v>
      </c>
      <c r="N150" s="25" t="s">
        <v>283</v>
      </c>
      <c r="O150" s="25" t="s">
        <v>293</v>
      </c>
      <c r="P150" s="21" t="s">
        <v>53</v>
      </c>
      <c r="Q150" s="22">
        <v>0.04097222222222222</v>
      </c>
      <c r="R150" s="13">
        <v>0.03680555555555556</v>
      </c>
      <c r="S150" s="13">
        <f t="shared" si="30"/>
        <v>0.07777777778</v>
      </c>
      <c r="T150" s="25" t="s">
        <v>118</v>
      </c>
      <c r="U150" s="25" t="s">
        <v>72</v>
      </c>
      <c r="V150" s="13">
        <f t="shared" si="1"/>
        <v>0.07777777778</v>
      </c>
      <c r="W150" s="19" t="s">
        <v>56</v>
      </c>
      <c r="X150" s="20" t="s">
        <v>57</v>
      </c>
      <c r="Y150" s="25" t="s">
        <v>503</v>
      </c>
      <c r="Z150" s="14"/>
      <c r="AA150" s="27"/>
      <c r="AB150" s="26" t="s">
        <v>45</v>
      </c>
      <c r="AC150" s="28"/>
      <c r="AD150" s="19" t="s">
        <v>155</v>
      </c>
      <c r="AE150" s="19" t="s">
        <v>63</v>
      </c>
      <c r="AF150" s="14"/>
      <c r="AG150" s="14"/>
      <c r="AH150" s="14"/>
      <c r="AI150" s="14"/>
      <c r="AJ150" s="14"/>
      <c r="AK150" s="14"/>
      <c r="AL150" s="14"/>
      <c r="AM150" s="14"/>
    </row>
    <row r="151" ht="39.0" customHeight="1">
      <c r="A151" s="19" t="s">
        <v>576</v>
      </c>
      <c r="B151" s="12"/>
      <c r="C151" s="19" t="s">
        <v>577</v>
      </c>
      <c r="D151" s="19" t="s">
        <v>578</v>
      </c>
      <c r="E151" s="19" t="s">
        <v>43</v>
      </c>
      <c r="F151" s="19" t="s">
        <v>579</v>
      </c>
      <c r="G151" s="19" t="s">
        <v>45</v>
      </c>
      <c r="H151" s="19" t="s">
        <v>580</v>
      </c>
      <c r="I151" s="26" t="s">
        <v>71</v>
      </c>
      <c r="J151" s="19" t="s">
        <v>486</v>
      </c>
      <c r="K151" s="19" t="s">
        <v>49</v>
      </c>
      <c r="L151" s="19" t="s">
        <v>50</v>
      </c>
      <c r="M151" s="19" t="s">
        <v>283</v>
      </c>
      <c r="N151" s="19" t="s">
        <v>283</v>
      </c>
      <c r="O151" s="19" t="s">
        <v>293</v>
      </c>
      <c r="P151" s="21" t="s">
        <v>53</v>
      </c>
      <c r="Q151" s="22">
        <v>0.04097222222222222</v>
      </c>
      <c r="R151" s="13">
        <v>0.03680555555555556</v>
      </c>
      <c r="S151" s="15">
        <f>Q151+R151</f>
        <v>0.07777777778</v>
      </c>
      <c r="T151" s="25" t="s">
        <v>118</v>
      </c>
      <c r="U151" s="25" t="s">
        <v>55</v>
      </c>
      <c r="V151" s="13">
        <f t="shared" si="1"/>
        <v>0.07777777778</v>
      </c>
      <c r="W151" s="19" t="s">
        <v>56</v>
      </c>
      <c r="X151" s="20" t="s">
        <v>57</v>
      </c>
      <c r="Y151" s="25" t="s">
        <v>503</v>
      </c>
      <c r="Z151" s="12"/>
      <c r="AA151" s="23"/>
      <c r="AB151" s="20" t="s">
        <v>45</v>
      </c>
      <c r="AC151" s="24"/>
      <c r="AD151" s="19" t="s">
        <v>155</v>
      </c>
      <c r="AE151" s="19" t="s">
        <v>63</v>
      </c>
      <c r="AF151" s="12"/>
      <c r="AG151" s="12"/>
      <c r="AH151" s="12"/>
      <c r="AI151" s="12"/>
      <c r="AJ151" s="12"/>
      <c r="AK151" s="12"/>
      <c r="AL151" s="12"/>
      <c r="AM151" s="12"/>
    </row>
    <row r="152" ht="39.0" customHeight="1">
      <c r="A152" s="25" t="s">
        <v>581</v>
      </c>
      <c r="B152" s="14"/>
      <c r="C152" s="25" t="s">
        <v>582</v>
      </c>
      <c r="D152" s="25" t="s">
        <v>583</v>
      </c>
      <c r="E152" s="25" t="s">
        <v>43</v>
      </c>
      <c r="F152" s="25" t="s">
        <v>584</v>
      </c>
      <c r="G152" s="25" t="s">
        <v>45</v>
      </c>
      <c r="H152" s="25" t="s">
        <v>585</v>
      </c>
      <c r="I152" s="26" t="s">
        <v>71</v>
      </c>
      <c r="J152" s="25" t="s">
        <v>486</v>
      </c>
      <c r="K152" s="25" t="s">
        <v>49</v>
      </c>
      <c r="L152" s="25" t="s">
        <v>50</v>
      </c>
      <c r="M152" s="25" t="s">
        <v>283</v>
      </c>
      <c r="N152" s="25" t="s">
        <v>283</v>
      </c>
      <c r="O152" s="25" t="s">
        <v>293</v>
      </c>
      <c r="P152" s="21" t="s">
        <v>53</v>
      </c>
      <c r="Q152" s="22">
        <v>0.04097222222222222</v>
      </c>
      <c r="R152" s="13">
        <v>0.03680555555555556</v>
      </c>
      <c r="S152" s="13">
        <f>TIMEVALUE(Q152+R152)</f>
        <v>0.07777777778</v>
      </c>
      <c r="T152" s="25" t="s">
        <v>118</v>
      </c>
      <c r="U152" s="25" t="s">
        <v>55</v>
      </c>
      <c r="V152" s="13">
        <f t="shared" si="1"/>
        <v>0.07777777778</v>
      </c>
      <c r="W152" s="19" t="s">
        <v>56</v>
      </c>
      <c r="X152" s="20" t="s">
        <v>57</v>
      </c>
      <c r="Y152" s="25" t="s">
        <v>503</v>
      </c>
      <c r="Z152" s="14"/>
      <c r="AA152" s="27"/>
      <c r="AB152" s="26" t="s">
        <v>45</v>
      </c>
      <c r="AC152" s="28"/>
      <c r="AD152" s="19" t="s">
        <v>155</v>
      </c>
      <c r="AE152" s="19" t="s">
        <v>63</v>
      </c>
      <c r="AF152" s="14"/>
      <c r="AG152" s="14"/>
      <c r="AH152" s="14"/>
      <c r="AI152" s="14"/>
      <c r="AJ152" s="14"/>
      <c r="AK152" s="14"/>
      <c r="AL152" s="14"/>
      <c r="AM152" s="14"/>
    </row>
    <row r="153" ht="39.0" customHeight="1">
      <c r="A153" s="19" t="s">
        <v>586</v>
      </c>
      <c r="B153" s="12"/>
      <c r="C153" s="19" t="s">
        <v>543</v>
      </c>
      <c r="D153" s="19" t="s">
        <v>587</v>
      </c>
      <c r="E153" s="19" t="s">
        <v>43</v>
      </c>
      <c r="F153" s="19" t="s">
        <v>588</v>
      </c>
      <c r="G153" s="19" t="s">
        <v>45</v>
      </c>
      <c r="H153" s="19" t="s">
        <v>589</v>
      </c>
      <c r="I153" s="26" t="s">
        <v>71</v>
      </c>
      <c r="J153" s="19" t="s">
        <v>486</v>
      </c>
      <c r="K153" s="19" t="s">
        <v>49</v>
      </c>
      <c r="L153" s="19" t="s">
        <v>50</v>
      </c>
      <c r="M153" s="19" t="s">
        <v>283</v>
      </c>
      <c r="N153" s="19" t="s">
        <v>283</v>
      </c>
      <c r="O153" s="19" t="s">
        <v>293</v>
      </c>
      <c r="P153" s="21" t="s">
        <v>53</v>
      </c>
      <c r="Q153" s="22">
        <v>0.04097222222222222</v>
      </c>
      <c r="R153" s="13">
        <v>0.03680555555555556</v>
      </c>
      <c r="S153" s="15">
        <f>Q153+R153</f>
        <v>0.07777777778</v>
      </c>
      <c r="T153" s="19" t="s">
        <v>118</v>
      </c>
      <c r="U153" s="19" t="s">
        <v>72</v>
      </c>
      <c r="V153" s="13">
        <f t="shared" si="1"/>
        <v>0.07777777778</v>
      </c>
      <c r="W153" s="19" t="s">
        <v>56</v>
      </c>
      <c r="X153" s="20" t="s">
        <v>57</v>
      </c>
      <c r="Y153" s="25" t="s">
        <v>503</v>
      </c>
      <c r="Z153" s="12"/>
      <c r="AA153" s="23"/>
      <c r="AB153" s="20" t="s">
        <v>45</v>
      </c>
      <c r="AC153" s="24"/>
      <c r="AD153" s="19" t="s">
        <v>155</v>
      </c>
      <c r="AE153" s="19" t="s">
        <v>63</v>
      </c>
      <c r="AF153" s="12"/>
      <c r="AG153" s="12"/>
      <c r="AH153" s="12"/>
      <c r="AI153" s="12"/>
      <c r="AJ153" s="12"/>
      <c r="AK153" s="12"/>
      <c r="AL153" s="12"/>
      <c r="AM153" s="12"/>
    </row>
    <row r="154" ht="39.0" customHeight="1">
      <c r="A154" s="25" t="s">
        <v>590</v>
      </c>
      <c r="B154" s="14"/>
      <c r="C154" s="25" t="s">
        <v>591</v>
      </c>
      <c r="D154" s="25" t="s">
        <v>592</v>
      </c>
      <c r="E154" s="25" t="s">
        <v>43</v>
      </c>
      <c r="F154" s="25" t="s">
        <v>593</v>
      </c>
      <c r="G154" s="25" t="s">
        <v>45</v>
      </c>
      <c r="H154" s="25" t="s">
        <v>594</v>
      </c>
      <c r="I154" s="26" t="s">
        <v>71</v>
      </c>
      <c r="J154" s="25" t="s">
        <v>486</v>
      </c>
      <c r="K154" s="25" t="s">
        <v>49</v>
      </c>
      <c r="L154" s="25" t="s">
        <v>50</v>
      </c>
      <c r="M154" s="25" t="s">
        <v>283</v>
      </c>
      <c r="N154" s="25" t="s">
        <v>283</v>
      </c>
      <c r="O154" s="25" t="s">
        <v>293</v>
      </c>
      <c r="P154" s="21" t="s">
        <v>53</v>
      </c>
      <c r="Q154" s="22">
        <v>0.04097222222222222</v>
      </c>
      <c r="R154" s="13">
        <v>0.03680555555555556</v>
      </c>
      <c r="S154" s="13">
        <f t="shared" ref="S154:S155" si="31">TIMEVALUE(Q154+R154)</f>
        <v>0.07777777778</v>
      </c>
      <c r="T154" s="25" t="s">
        <v>595</v>
      </c>
      <c r="U154" s="25" t="s">
        <v>55</v>
      </c>
      <c r="V154" s="13">
        <f t="shared" si="1"/>
        <v>0.07777777778</v>
      </c>
      <c r="W154" s="19" t="s">
        <v>56</v>
      </c>
      <c r="X154" s="20" t="s">
        <v>57</v>
      </c>
      <c r="Y154" s="25" t="s">
        <v>503</v>
      </c>
      <c r="Z154" s="14"/>
      <c r="AA154" s="27"/>
      <c r="AB154" s="26" t="s">
        <v>45</v>
      </c>
      <c r="AC154" s="28"/>
      <c r="AD154" s="19" t="s">
        <v>155</v>
      </c>
      <c r="AE154" s="19" t="s">
        <v>63</v>
      </c>
      <c r="AF154" s="14"/>
      <c r="AG154" s="14"/>
      <c r="AH154" s="14"/>
      <c r="AI154" s="14"/>
      <c r="AJ154" s="14"/>
      <c r="AK154" s="14"/>
      <c r="AL154" s="14"/>
      <c r="AM154" s="14"/>
    </row>
    <row r="155" ht="65.25" customHeight="1">
      <c r="A155" s="19" t="s">
        <v>596</v>
      </c>
      <c r="B155" s="12"/>
      <c r="C155" s="19" t="s">
        <v>543</v>
      </c>
      <c r="D155" s="19" t="s">
        <v>597</v>
      </c>
      <c r="E155" s="19" t="s">
        <v>43</v>
      </c>
      <c r="F155" s="19" t="s">
        <v>598</v>
      </c>
      <c r="G155" s="19" t="s">
        <v>45</v>
      </c>
      <c r="H155" s="19" t="s">
        <v>599</v>
      </c>
      <c r="I155" s="26" t="s">
        <v>71</v>
      </c>
      <c r="J155" s="19" t="s">
        <v>486</v>
      </c>
      <c r="K155" s="19" t="s">
        <v>49</v>
      </c>
      <c r="L155" s="19" t="s">
        <v>50</v>
      </c>
      <c r="M155" s="19" t="s">
        <v>283</v>
      </c>
      <c r="N155" s="19" t="s">
        <v>283</v>
      </c>
      <c r="O155" s="19" t="s">
        <v>293</v>
      </c>
      <c r="P155" s="21" t="s">
        <v>53</v>
      </c>
      <c r="Q155" s="22">
        <v>0.04097222222222222</v>
      </c>
      <c r="R155" s="13">
        <v>0.03680555555555556</v>
      </c>
      <c r="S155" s="13">
        <f t="shared" si="31"/>
        <v>0.07777777778</v>
      </c>
      <c r="T155" s="19" t="s">
        <v>600</v>
      </c>
      <c r="U155" s="19" t="s">
        <v>55</v>
      </c>
      <c r="V155" s="13">
        <f t="shared" si="1"/>
        <v>0.07777777778</v>
      </c>
      <c r="W155" s="19" t="s">
        <v>56</v>
      </c>
      <c r="X155" s="20" t="s">
        <v>57</v>
      </c>
      <c r="Y155" s="25" t="s">
        <v>503</v>
      </c>
      <c r="Z155" s="12"/>
      <c r="AA155" s="23"/>
      <c r="AB155" s="20" t="s">
        <v>45</v>
      </c>
      <c r="AC155" s="24"/>
      <c r="AD155" s="19" t="s">
        <v>155</v>
      </c>
      <c r="AE155" s="19" t="s">
        <v>63</v>
      </c>
      <c r="AF155" s="12"/>
      <c r="AG155" s="12"/>
      <c r="AH155" s="12"/>
      <c r="AI155" s="12"/>
      <c r="AJ155" s="12"/>
      <c r="AK155" s="12"/>
      <c r="AL155" s="12"/>
      <c r="AM155" s="12"/>
    </row>
    <row r="156" ht="65.25" customHeight="1">
      <c r="A156" s="25" t="s">
        <v>596</v>
      </c>
      <c r="B156" s="14"/>
      <c r="C156" s="25" t="s">
        <v>543</v>
      </c>
      <c r="D156" s="25" t="s">
        <v>597</v>
      </c>
      <c r="E156" s="25" t="s">
        <v>43</v>
      </c>
      <c r="F156" s="25" t="s">
        <v>598</v>
      </c>
      <c r="G156" s="25" t="s">
        <v>45</v>
      </c>
      <c r="H156" s="25" t="s">
        <v>599</v>
      </c>
      <c r="I156" s="26" t="s">
        <v>71</v>
      </c>
      <c r="J156" s="25" t="s">
        <v>486</v>
      </c>
      <c r="K156" s="25" t="s">
        <v>49</v>
      </c>
      <c r="L156" s="25" t="s">
        <v>50</v>
      </c>
      <c r="M156" s="25" t="s">
        <v>283</v>
      </c>
      <c r="N156" s="25" t="s">
        <v>283</v>
      </c>
      <c r="O156" s="25" t="s">
        <v>293</v>
      </c>
      <c r="P156" s="21" t="s">
        <v>53</v>
      </c>
      <c r="Q156" s="22">
        <v>0.04097222222222222</v>
      </c>
      <c r="R156" s="13">
        <v>0.03680555555555556</v>
      </c>
      <c r="S156" s="15">
        <f>Q156+R156</f>
        <v>0.07777777778</v>
      </c>
      <c r="T156" s="19" t="s">
        <v>600</v>
      </c>
      <c r="U156" s="25" t="s">
        <v>55</v>
      </c>
      <c r="V156" s="13">
        <f t="shared" si="1"/>
        <v>0.07777777778</v>
      </c>
      <c r="W156" s="19" t="s">
        <v>56</v>
      </c>
      <c r="X156" s="20" t="s">
        <v>57</v>
      </c>
      <c r="Y156" s="25" t="s">
        <v>503</v>
      </c>
      <c r="Z156" s="14"/>
      <c r="AA156" s="27"/>
      <c r="AB156" s="26" t="s">
        <v>45</v>
      </c>
      <c r="AC156" s="28"/>
      <c r="AD156" s="19" t="s">
        <v>155</v>
      </c>
      <c r="AE156" s="19" t="s">
        <v>63</v>
      </c>
      <c r="AF156" s="14"/>
      <c r="AG156" s="14"/>
      <c r="AH156" s="14"/>
      <c r="AI156" s="14"/>
      <c r="AJ156" s="14"/>
      <c r="AK156" s="14"/>
      <c r="AL156" s="14"/>
      <c r="AM156" s="14"/>
    </row>
    <row r="157" ht="52.5" customHeight="1">
      <c r="A157" s="19" t="s">
        <v>601</v>
      </c>
      <c r="B157" s="12"/>
      <c r="C157" s="19" t="s">
        <v>602</v>
      </c>
      <c r="D157" s="19" t="s">
        <v>603</v>
      </c>
      <c r="E157" s="19" t="s">
        <v>43</v>
      </c>
      <c r="F157" s="19" t="s">
        <v>604</v>
      </c>
      <c r="G157" s="19" t="s">
        <v>45</v>
      </c>
      <c r="H157" s="19" t="s">
        <v>605</v>
      </c>
      <c r="I157" s="20" t="s">
        <v>71</v>
      </c>
      <c r="J157" s="19" t="s">
        <v>486</v>
      </c>
      <c r="K157" s="19" t="s">
        <v>49</v>
      </c>
      <c r="L157" s="19" t="s">
        <v>50</v>
      </c>
      <c r="M157" s="19" t="s">
        <v>51</v>
      </c>
      <c r="N157" s="19" t="s">
        <v>51</v>
      </c>
      <c r="O157" s="19" t="s">
        <v>52</v>
      </c>
      <c r="P157" s="21" t="s">
        <v>53</v>
      </c>
      <c r="Q157" s="22">
        <v>0.04097222222222222</v>
      </c>
      <c r="R157" s="13">
        <v>0.03680555555555556</v>
      </c>
      <c r="S157" s="13">
        <f>TIMEVALUE(Q157+R157)</f>
        <v>0.07777777778</v>
      </c>
      <c r="T157" s="19" t="s">
        <v>595</v>
      </c>
      <c r="U157" s="19" t="s">
        <v>55</v>
      </c>
      <c r="V157" s="13">
        <f t="shared" si="1"/>
        <v>0.07777777778</v>
      </c>
      <c r="W157" s="19" t="s">
        <v>56</v>
      </c>
      <c r="X157" s="20" t="s">
        <v>57</v>
      </c>
      <c r="Y157" s="25" t="s">
        <v>503</v>
      </c>
      <c r="Z157" s="12"/>
      <c r="AA157" s="23"/>
      <c r="AB157" s="20" t="s">
        <v>45</v>
      </c>
      <c r="AC157" s="24"/>
      <c r="AD157" s="19" t="s">
        <v>155</v>
      </c>
      <c r="AE157" s="19" t="s">
        <v>63</v>
      </c>
      <c r="AF157" s="12"/>
      <c r="AG157" s="12"/>
      <c r="AH157" s="12"/>
      <c r="AI157" s="12"/>
      <c r="AJ157" s="12"/>
      <c r="AK157" s="12"/>
      <c r="AL157" s="12"/>
      <c r="AM157" s="12"/>
    </row>
    <row r="158" ht="65.25" customHeight="1">
      <c r="A158" s="25" t="s">
        <v>601</v>
      </c>
      <c r="B158" s="14"/>
      <c r="C158" s="25" t="s">
        <v>602</v>
      </c>
      <c r="D158" s="25" t="s">
        <v>603</v>
      </c>
      <c r="E158" s="25" t="s">
        <v>43</v>
      </c>
      <c r="F158" s="25" t="s">
        <v>604</v>
      </c>
      <c r="G158" s="25" t="s">
        <v>45</v>
      </c>
      <c r="H158" s="25" t="s">
        <v>605</v>
      </c>
      <c r="I158" s="26" t="s">
        <v>71</v>
      </c>
      <c r="J158" s="25" t="s">
        <v>486</v>
      </c>
      <c r="K158" s="25" t="s">
        <v>49</v>
      </c>
      <c r="L158" s="25" t="s">
        <v>50</v>
      </c>
      <c r="M158" s="25" t="s">
        <v>51</v>
      </c>
      <c r="N158" s="25" t="s">
        <v>51</v>
      </c>
      <c r="O158" s="25" t="s">
        <v>52</v>
      </c>
      <c r="P158" s="21" t="s">
        <v>53</v>
      </c>
      <c r="Q158" s="22">
        <v>0.04097222222222222</v>
      </c>
      <c r="R158" s="13">
        <v>0.03680555555555556</v>
      </c>
      <c r="S158" s="15">
        <f t="shared" ref="S158:S189" si="32">Q158+R158</f>
        <v>0.07777777778</v>
      </c>
      <c r="T158" s="29">
        <v>46002.25</v>
      </c>
      <c r="U158" s="25" t="s">
        <v>55</v>
      </c>
      <c r="V158" s="13">
        <f t="shared" si="1"/>
        <v>0.07777777778</v>
      </c>
      <c r="W158" s="19" t="s">
        <v>56</v>
      </c>
      <c r="X158" s="20" t="s">
        <v>57</v>
      </c>
      <c r="Y158" s="25" t="s">
        <v>503</v>
      </c>
      <c r="Z158" s="14"/>
      <c r="AA158" s="27"/>
      <c r="AB158" s="26" t="s">
        <v>45</v>
      </c>
      <c r="AC158" s="28"/>
      <c r="AD158" s="19" t="s">
        <v>155</v>
      </c>
      <c r="AE158" s="19" t="s">
        <v>63</v>
      </c>
      <c r="AF158" s="14"/>
      <c r="AG158" s="14"/>
      <c r="AH158" s="14"/>
      <c r="AI158" s="14"/>
      <c r="AJ158" s="14"/>
      <c r="AK158" s="14"/>
      <c r="AL158" s="14"/>
      <c r="AM158" s="14"/>
    </row>
    <row r="159" ht="39.0" customHeight="1">
      <c r="A159" s="30" t="s">
        <v>606</v>
      </c>
      <c r="C159" s="30" t="s">
        <v>607</v>
      </c>
      <c r="D159" s="30" t="s">
        <v>608</v>
      </c>
      <c r="E159" s="25" t="s">
        <v>43</v>
      </c>
      <c r="F159" s="30" t="s">
        <v>609</v>
      </c>
      <c r="G159" s="25" t="s">
        <v>45</v>
      </c>
      <c r="H159" s="31" t="s">
        <v>610</v>
      </c>
      <c r="I159" s="26" t="s">
        <v>71</v>
      </c>
      <c r="J159" s="25" t="s">
        <v>611</v>
      </c>
      <c r="K159" s="25" t="s">
        <v>49</v>
      </c>
      <c r="L159" s="25" t="s">
        <v>612</v>
      </c>
      <c r="M159" s="25" t="s">
        <v>51</v>
      </c>
      <c r="N159" s="25" t="s">
        <v>51</v>
      </c>
      <c r="O159" s="26" t="s">
        <v>613</v>
      </c>
      <c r="P159" s="21" t="s">
        <v>53</v>
      </c>
      <c r="Q159" s="22">
        <v>0.04097222222222222</v>
      </c>
      <c r="R159" s="13">
        <v>0.03680555555555556</v>
      </c>
      <c r="S159" s="15">
        <f t="shared" si="32"/>
        <v>0.07777777778</v>
      </c>
      <c r="T159" s="29">
        <v>46002.25</v>
      </c>
      <c r="U159" s="25" t="s">
        <v>55</v>
      </c>
      <c r="V159" s="13">
        <f t="shared" si="1"/>
        <v>0.07777777778</v>
      </c>
      <c r="W159" s="19" t="s">
        <v>56</v>
      </c>
      <c r="X159" s="20" t="s">
        <v>57</v>
      </c>
      <c r="Y159" s="25" t="s">
        <v>503</v>
      </c>
      <c r="Z159" s="14"/>
      <c r="AA159" s="27"/>
      <c r="AB159" s="26" t="s">
        <v>45</v>
      </c>
      <c r="AC159" s="28"/>
      <c r="AD159" s="25" t="s">
        <v>614</v>
      </c>
      <c r="AE159" s="25"/>
      <c r="AF159" s="25"/>
      <c r="AG159" s="14"/>
      <c r="AH159" s="14"/>
      <c r="AI159" s="14"/>
      <c r="AJ159" s="14"/>
      <c r="AK159" s="14"/>
      <c r="AL159" s="14"/>
      <c r="AM159" s="14"/>
    </row>
    <row r="160" ht="39.0" customHeight="1">
      <c r="A160" s="30" t="s">
        <v>615</v>
      </c>
      <c r="C160" s="30" t="s">
        <v>616</v>
      </c>
      <c r="D160" s="30" t="s">
        <v>617</v>
      </c>
      <c r="E160" s="25" t="s">
        <v>43</v>
      </c>
      <c r="F160" s="30" t="s">
        <v>618</v>
      </c>
      <c r="G160" s="25" t="s">
        <v>45</v>
      </c>
      <c r="H160" s="31" t="s">
        <v>619</v>
      </c>
      <c r="I160" s="26" t="s">
        <v>71</v>
      </c>
      <c r="J160" s="25" t="s">
        <v>611</v>
      </c>
      <c r="K160" s="25" t="s">
        <v>49</v>
      </c>
      <c r="L160" s="25" t="s">
        <v>620</v>
      </c>
      <c r="M160" s="25" t="s">
        <v>51</v>
      </c>
      <c r="N160" s="25" t="s">
        <v>51</v>
      </c>
      <c r="O160" s="26" t="s">
        <v>613</v>
      </c>
      <c r="P160" s="21" t="s">
        <v>53</v>
      </c>
      <c r="Q160" s="22">
        <v>0.04097222222222222</v>
      </c>
      <c r="R160" s="13">
        <v>0.03680555555555556</v>
      </c>
      <c r="S160" s="15">
        <f t="shared" si="32"/>
        <v>0.07777777778</v>
      </c>
      <c r="T160" s="29">
        <v>46002.25</v>
      </c>
      <c r="U160" s="25" t="s">
        <v>55</v>
      </c>
      <c r="V160" s="13">
        <f t="shared" si="1"/>
        <v>0.07777777778</v>
      </c>
      <c r="W160" s="19" t="s">
        <v>56</v>
      </c>
      <c r="X160" s="20" t="s">
        <v>57</v>
      </c>
      <c r="Y160" s="25" t="s">
        <v>503</v>
      </c>
      <c r="Z160" s="12"/>
      <c r="AA160" s="23"/>
      <c r="AB160" s="26" t="s">
        <v>45</v>
      </c>
      <c r="AC160" s="24"/>
      <c r="AD160" s="25" t="s">
        <v>63</v>
      </c>
      <c r="AE160" s="19"/>
      <c r="AF160" s="19"/>
      <c r="AG160" s="12"/>
      <c r="AH160" s="12"/>
      <c r="AI160" s="12"/>
      <c r="AJ160" s="12"/>
      <c r="AK160" s="12"/>
      <c r="AL160" s="12"/>
      <c r="AM160" s="12"/>
    </row>
    <row r="161" ht="39.0" customHeight="1">
      <c r="A161" s="30" t="s">
        <v>621</v>
      </c>
      <c r="C161" s="30" t="s">
        <v>622</v>
      </c>
      <c r="D161" s="30" t="s">
        <v>623</v>
      </c>
      <c r="E161" s="25" t="s">
        <v>43</v>
      </c>
      <c r="F161" s="30" t="s">
        <v>624</v>
      </c>
      <c r="G161" s="25" t="s">
        <v>45</v>
      </c>
      <c r="H161" s="31" t="s">
        <v>625</v>
      </c>
      <c r="I161" s="26" t="s">
        <v>71</v>
      </c>
      <c r="J161" s="25" t="s">
        <v>611</v>
      </c>
      <c r="K161" s="25" t="s">
        <v>49</v>
      </c>
      <c r="L161" s="25" t="s">
        <v>626</v>
      </c>
      <c r="M161" s="25" t="s">
        <v>51</v>
      </c>
      <c r="N161" s="25" t="s">
        <v>51</v>
      </c>
      <c r="O161" s="26" t="s">
        <v>613</v>
      </c>
      <c r="P161" s="21" t="s">
        <v>53</v>
      </c>
      <c r="Q161" s="22">
        <v>0.04097222222222222</v>
      </c>
      <c r="R161" s="13">
        <v>0.03680555555555556</v>
      </c>
      <c r="S161" s="15">
        <f t="shared" si="32"/>
        <v>0.07777777778</v>
      </c>
      <c r="T161" s="29">
        <v>46002.25</v>
      </c>
      <c r="U161" s="25" t="s">
        <v>55</v>
      </c>
      <c r="V161" s="13">
        <f t="shared" si="1"/>
        <v>0.07777777778</v>
      </c>
      <c r="W161" s="19" t="s">
        <v>56</v>
      </c>
      <c r="X161" s="20" t="s">
        <v>57</v>
      </c>
      <c r="Y161" s="25" t="s">
        <v>503</v>
      </c>
      <c r="Z161" s="14"/>
      <c r="AA161" s="27"/>
      <c r="AB161" s="26" t="s">
        <v>45</v>
      </c>
      <c r="AC161" s="26"/>
      <c r="AD161" s="25" t="s">
        <v>63</v>
      </c>
      <c r="AE161" s="25"/>
      <c r="AF161" s="25"/>
      <c r="AG161" s="25"/>
      <c r="AH161" s="25"/>
      <c r="AI161" s="14"/>
      <c r="AJ161" s="14"/>
      <c r="AK161" s="14"/>
      <c r="AL161" s="14"/>
      <c r="AM161" s="14"/>
    </row>
    <row r="162" ht="39.0" customHeight="1">
      <c r="A162" s="30" t="s">
        <v>627</v>
      </c>
      <c r="C162" s="30" t="s">
        <v>628</v>
      </c>
      <c r="D162" s="30" t="s">
        <v>629</v>
      </c>
      <c r="E162" s="25" t="s">
        <v>43</v>
      </c>
      <c r="F162" s="30" t="s">
        <v>630</v>
      </c>
      <c r="G162" s="25" t="s">
        <v>45</v>
      </c>
      <c r="H162" s="31" t="s">
        <v>631</v>
      </c>
      <c r="I162" s="26" t="s">
        <v>71</v>
      </c>
      <c r="J162" s="25" t="s">
        <v>611</v>
      </c>
      <c r="K162" s="25" t="s">
        <v>49</v>
      </c>
      <c r="L162" s="25" t="s">
        <v>632</v>
      </c>
      <c r="M162" s="25" t="s">
        <v>51</v>
      </c>
      <c r="N162" s="25" t="s">
        <v>51</v>
      </c>
      <c r="O162" s="26" t="s">
        <v>613</v>
      </c>
      <c r="P162" s="21" t="s">
        <v>53</v>
      </c>
      <c r="Q162" s="22">
        <v>0.04097222222222222</v>
      </c>
      <c r="R162" s="13">
        <v>0.03680555555555556</v>
      </c>
      <c r="S162" s="15">
        <f t="shared" si="32"/>
        <v>0.07777777778</v>
      </c>
      <c r="T162" s="29">
        <v>46002.25</v>
      </c>
      <c r="U162" s="25" t="s">
        <v>55</v>
      </c>
      <c r="V162" s="13">
        <f t="shared" si="1"/>
        <v>0.07777777778</v>
      </c>
      <c r="W162" s="19" t="s">
        <v>56</v>
      </c>
      <c r="X162" s="20" t="s">
        <v>57</v>
      </c>
      <c r="Y162" s="25" t="s">
        <v>503</v>
      </c>
      <c r="Z162" s="12"/>
      <c r="AA162" s="18"/>
      <c r="AB162" s="26" t="s">
        <v>45</v>
      </c>
      <c r="AC162" s="24"/>
      <c r="AD162" s="25" t="s">
        <v>63</v>
      </c>
      <c r="AE162" s="19"/>
      <c r="AF162" s="19"/>
      <c r="AG162" s="12"/>
      <c r="AH162" s="12"/>
      <c r="AI162" s="12"/>
      <c r="AJ162" s="12"/>
      <c r="AK162" s="12"/>
      <c r="AL162" s="12"/>
      <c r="AM162" s="12"/>
    </row>
    <row r="163" ht="39.0" customHeight="1">
      <c r="A163" s="30" t="s">
        <v>633</v>
      </c>
      <c r="B163" s="30" t="s">
        <v>634</v>
      </c>
      <c r="C163" s="30" t="s">
        <v>635</v>
      </c>
      <c r="D163" s="30" t="s">
        <v>636</v>
      </c>
      <c r="E163" s="25" t="s">
        <v>43</v>
      </c>
      <c r="F163" s="30" t="s">
        <v>637</v>
      </c>
      <c r="G163" s="25" t="s">
        <v>45</v>
      </c>
      <c r="H163" s="31" t="s">
        <v>638</v>
      </c>
      <c r="I163" s="26" t="s">
        <v>71</v>
      </c>
      <c r="J163" s="25" t="s">
        <v>611</v>
      </c>
      <c r="K163" s="25" t="s">
        <v>49</v>
      </c>
      <c r="L163" s="25" t="s">
        <v>639</v>
      </c>
      <c r="M163" s="25" t="s">
        <v>51</v>
      </c>
      <c r="N163" s="25" t="s">
        <v>51</v>
      </c>
      <c r="O163" s="26" t="s">
        <v>613</v>
      </c>
      <c r="P163" s="21" t="s">
        <v>53</v>
      </c>
      <c r="Q163" s="22">
        <v>0.04097222222222222</v>
      </c>
      <c r="R163" s="13">
        <v>0.03680555555555556</v>
      </c>
      <c r="S163" s="15">
        <f t="shared" si="32"/>
        <v>0.07777777778</v>
      </c>
      <c r="T163" s="29">
        <v>46002.25</v>
      </c>
      <c r="U163" s="25" t="s">
        <v>55</v>
      </c>
      <c r="V163" s="13">
        <f t="shared" si="1"/>
        <v>0.07777777778</v>
      </c>
      <c r="W163" s="19" t="s">
        <v>56</v>
      </c>
      <c r="X163" s="20" t="s">
        <v>57</v>
      </c>
      <c r="Y163" s="25" t="s">
        <v>503</v>
      </c>
      <c r="Z163" s="14"/>
      <c r="AA163" s="27"/>
      <c r="AB163" s="26" t="s">
        <v>45</v>
      </c>
      <c r="AC163" s="28"/>
      <c r="AD163" s="25" t="s">
        <v>63</v>
      </c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ht="39.0" customHeight="1">
      <c r="A164" s="30" t="s">
        <v>640</v>
      </c>
      <c r="B164" s="30" t="s">
        <v>641</v>
      </c>
      <c r="C164" s="30" t="s">
        <v>642</v>
      </c>
      <c r="D164" s="30" t="s">
        <v>643</v>
      </c>
      <c r="E164" s="25" t="s">
        <v>43</v>
      </c>
      <c r="F164" s="30" t="s">
        <v>644</v>
      </c>
      <c r="G164" s="25" t="s">
        <v>45</v>
      </c>
      <c r="H164" s="31" t="s">
        <v>645</v>
      </c>
      <c r="I164" s="26" t="s">
        <v>71</v>
      </c>
      <c r="J164" s="25" t="s">
        <v>611</v>
      </c>
      <c r="K164" s="25" t="s">
        <v>49</v>
      </c>
      <c r="L164" s="25" t="s">
        <v>646</v>
      </c>
      <c r="M164" s="25" t="s">
        <v>51</v>
      </c>
      <c r="N164" s="25" t="s">
        <v>51</v>
      </c>
      <c r="O164" s="26" t="s">
        <v>613</v>
      </c>
      <c r="P164" s="21" t="s">
        <v>53</v>
      </c>
      <c r="Q164" s="22">
        <v>0.04097222222222222</v>
      </c>
      <c r="R164" s="13">
        <v>0.03680555555555556</v>
      </c>
      <c r="S164" s="15">
        <f t="shared" si="32"/>
        <v>0.07777777778</v>
      </c>
      <c r="T164" s="29">
        <v>46002.25</v>
      </c>
      <c r="U164" s="25" t="s">
        <v>55</v>
      </c>
      <c r="V164" s="13">
        <f t="shared" si="1"/>
        <v>0.07777777778</v>
      </c>
      <c r="W164" s="19" t="s">
        <v>56</v>
      </c>
      <c r="X164" s="20" t="s">
        <v>57</v>
      </c>
      <c r="Y164" s="25" t="s">
        <v>503</v>
      </c>
      <c r="Z164" s="12"/>
      <c r="AA164" s="23"/>
      <c r="AB164" s="26" t="s">
        <v>45</v>
      </c>
      <c r="AC164" s="20"/>
      <c r="AD164" s="25" t="s">
        <v>63</v>
      </c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ht="39.0" customHeight="1">
      <c r="A165" s="30" t="s">
        <v>647</v>
      </c>
      <c r="C165" s="30" t="s">
        <v>648</v>
      </c>
      <c r="D165" s="30" t="s">
        <v>649</v>
      </c>
      <c r="E165" s="25" t="s">
        <v>43</v>
      </c>
      <c r="F165" s="30" t="s">
        <v>650</v>
      </c>
      <c r="G165" s="25" t="s">
        <v>45</v>
      </c>
      <c r="H165" s="31" t="s">
        <v>651</v>
      </c>
      <c r="I165" s="26" t="s">
        <v>71</v>
      </c>
      <c r="J165" s="25" t="s">
        <v>611</v>
      </c>
      <c r="K165" s="25" t="s">
        <v>49</v>
      </c>
      <c r="L165" s="25" t="s">
        <v>652</v>
      </c>
      <c r="M165" s="25" t="s">
        <v>51</v>
      </c>
      <c r="N165" s="25" t="s">
        <v>51</v>
      </c>
      <c r="O165" s="26" t="s">
        <v>613</v>
      </c>
      <c r="P165" s="21" t="s">
        <v>53</v>
      </c>
      <c r="Q165" s="22">
        <v>0.04097222222222222</v>
      </c>
      <c r="R165" s="13">
        <v>0.03680555555555556</v>
      </c>
      <c r="S165" s="15">
        <f t="shared" si="32"/>
        <v>0.07777777778</v>
      </c>
      <c r="T165" s="29">
        <v>46002.25</v>
      </c>
      <c r="U165" s="25" t="s">
        <v>55</v>
      </c>
      <c r="V165" s="13">
        <f t="shared" si="1"/>
        <v>0.07777777778</v>
      </c>
      <c r="W165" s="19" t="s">
        <v>56</v>
      </c>
      <c r="X165" s="20" t="s">
        <v>57</v>
      </c>
      <c r="Y165" s="25" t="s">
        <v>503</v>
      </c>
      <c r="Z165" s="14"/>
      <c r="AA165" s="27"/>
      <c r="AB165" s="26" t="s">
        <v>45</v>
      </c>
      <c r="AC165" s="26"/>
      <c r="AD165" s="25" t="s">
        <v>653</v>
      </c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ht="15.75" customHeight="1">
      <c r="A166" s="30" t="s">
        <v>654</v>
      </c>
      <c r="C166" s="30" t="s">
        <v>655</v>
      </c>
      <c r="D166" s="30" t="s">
        <v>656</v>
      </c>
      <c r="E166" s="25" t="s">
        <v>43</v>
      </c>
      <c r="F166" s="30" t="s">
        <v>657</v>
      </c>
      <c r="G166" s="25" t="s">
        <v>45</v>
      </c>
      <c r="H166" s="32">
        <v>20708.0</v>
      </c>
      <c r="I166" s="26" t="s">
        <v>71</v>
      </c>
      <c r="J166" s="25" t="s">
        <v>611</v>
      </c>
      <c r="K166" s="25" t="s">
        <v>49</v>
      </c>
      <c r="L166" s="25" t="s">
        <v>658</v>
      </c>
      <c r="M166" s="25" t="s">
        <v>51</v>
      </c>
      <c r="N166" s="25" t="s">
        <v>51</v>
      </c>
      <c r="O166" s="26" t="s">
        <v>613</v>
      </c>
      <c r="P166" s="21" t="s">
        <v>53</v>
      </c>
      <c r="Q166" s="22">
        <v>0.04097222222222222</v>
      </c>
      <c r="R166" s="13">
        <v>0.03680555555555556</v>
      </c>
      <c r="S166" s="15">
        <f t="shared" si="32"/>
        <v>0.07777777778</v>
      </c>
      <c r="T166" s="29">
        <v>46002.25</v>
      </c>
      <c r="U166" s="25" t="s">
        <v>55</v>
      </c>
      <c r="V166" s="13">
        <f t="shared" si="1"/>
        <v>0.07777777778</v>
      </c>
      <c r="W166" s="19" t="s">
        <v>56</v>
      </c>
      <c r="X166" s="20" t="s">
        <v>57</v>
      </c>
      <c r="Y166" s="25" t="s">
        <v>503</v>
      </c>
      <c r="Z166" s="33"/>
      <c r="AA166" s="33"/>
      <c r="AB166" s="26" t="s">
        <v>45</v>
      </c>
      <c r="AC166" s="33"/>
      <c r="AD166" s="25" t="s">
        <v>614</v>
      </c>
      <c r="AE166" s="33"/>
      <c r="AF166" s="33"/>
      <c r="AG166" s="33"/>
      <c r="AH166" s="33"/>
      <c r="AI166" s="33"/>
      <c r="AJ166" s="33"/>
      <c r="AK166" s="33"/>
      <c r="AL166" s="33"/>
      <c r="AM166" s="34"/>
    </row>
    <row r="167" ht="15.75" customHeight="1">
      <c r="A167" s="30" t="s">
        <v>192</v>
      </c>
      <c r="C167" s="30" t="s">
        <v>659</v>
      </c>
      <c r="D167" s="30" t="s">
        <v>660</v>
      </c>
      <c r="E167" s="25" t="s">
        <v>43</v>
      </c>
      <c r="F167" s="30" t="s">
        <v>661</v>
      </c>
      <c r="G167" s="25" t="s">
        <v>45</v>
      </c>
      <c r="H167" s="35">
        <v>23044.0</v>
      </c>
      <c r="I167" s="26" t="s">
        <v>71</v>
      </c>
      <c r="J167" s="25" t="s">
        <v>611</v>
      </c>
      <c r="K167" s="25" t="s">
        <v>49</v>
      </c>
      <c r="L167" s="25" t="s">
        <v>662</v>
      </c>
      <c r="M167" s="25" t="s">
        <v>51</v>
      </c>
      <c r="N167" s="25" t="s">
        <v>51</v>
      </c>
      <c r="O167" s="26" t="s">
        <v>613</v>
      </c>
      <c r="P167" s="21" t="s">
        <v>53</v>
      </c>
      <c r="Q167" s="22">
        <v>0.04097222222222222</v>
      </c>
      <c r="R167" s="13">
        <v>0.03680555555555556</v>
      </c>
      <c r="S167" s="15">
        <f t="shared" si="32"/>
        <v>0.07777777778</v>
      </c>
      <c r="T167" s="29">
        <v>46002.25</v>
      </c>
      <c r="U167" s="25" t="s">
        <v>55</v>
      </c>
      <c r="V167" s="13">
        <f t="shared" si="1"/>
        <v>0.07777777778</v>
      </c>
      <c r="W167" s="19" t="s">
        <v>56</v>
      </c>
      <c r="X167" s="20" t="s">
        <v>57</v>
      </c>
      <c r="Y167" s="25" t="s">
        <v>503</v>
      </c>
      <c r="Z167" s="36"/>
      <c r="AA167" s="36"/>
      <c r="AB167" s="26" t="s">
        <v>45</v>
      </c>
      <c r="AC167" s="36"/>
      <c r="AD167" s="25" t="s">
        <v>614</v>
      </c>
      <c r="AE167" s="36"/>
      <c r="AF167" s="36"/>
      <c r="AG167" s="36"/>
      <c r="AH167" s="36"/>
      <c r="AI167" s="36"/>
      <c r="AJ167" s="36"/>
      <c r="AK167" s="36"/>
      <c r="AL167" s="36"/>
      <c r="AM167" s="37"/>
    </row>
    <row r="168" ht="15.75" customHeight="1">
      <c r="A168" s="30" t="s">
        <v>663</v>
      </c>
      <c r="C168" s="30" t="s">
        <v>664</v>
      </c>
      <c r="D168" s="30" t="s">
        <v>665</v>
      </c>
      <c r="E168" s="25" t="s">
        <v>43</v>
      </c>
      <c r="F168" s="30" t="s">
        <v>666</v>
      </c>
      <c r="G168" s="25" t="s">
        <v>45</v>
      </c>
      <c r="H168" s="32">
        <v>22019.0</v>
      </c>
      <c r="I168" s="26" t="s">
        <v>71</v>
      </c>
      <c r="J168" s="25" t="s">
        <v>611</v>
      </c>
      <c r="K168" s="25" t="s">
        <v>49</v>
      </c>
      <c r="L168" s="25" t="s">
        <v>667</v>
      </c>
      <c r="M168" s="25" t="s">
        <v>51</v>
      </c>
      <c r="N168" s="25" t="s">
        <v>51</v>
      </c>
      <c r="O168" s="26" t="s">
        <v>613</v>
      </c>
      <c r="P168" s="21" t="s">
        <v>53</v>
      </c>
      <c r="Q168" s="22">
        <v>0.04097222222222222</v>
      </c>
      <c r="R168" s="13">
        <v>0.03680555555555556</v>
      </c>
      <c r="S168" s="15">
        <f t="shared" si="32"/>
        <v>0.07777777778</v>
      </c>
      <c r="T168" s="29">
        <v>46002.25</v>
      </c>
      <c r="U168" s="25" t="s">
        <v>55</v>
      </c>
      <c r="V168" s="13">
        <f t="shared" si="1"/>
        <v>0.07777777778</v>
      </c>
      <c r="W168" s="19" t="s">
        <v>56</v>
      </c>
      <c r="X168" s="20" t="s">
        <v>57</v>
      </c>
      <c r="Y168" s="25" t="s">
        <v>503</v>
      </c>
      <c r="Z168" s="38"/>
      <c r="AA168" s="38"/>
      <c r="AB168" s="26" t="s">
        <v>45</v>
      </c>
      <c r="AC168" s="38"/>
      <c r="AD168" s="25" t="s">
        <v>668</v>
      </c>
      <c r="AE168" s="38"/>
      <c r="AF168" s="38"/>
      <c r="AG168" s="38"/>
      <c r="AH168" s="38"/>
      <c r="AI168" s="38"/>
      <c r="AJ168" s="38"/>
      <c r="AK168" s="38"/>
      <c r="AL168" s="38"/>
      <c r="AM168" s="39"/>
    </row>
    <row r="169" ht="15.75" customHeight="1">
      <c r="A169" s="30" t="s">
        <v>669</v>
      </c>
      <c r="C169" s="30" t="s">
        <v>670</v>
      </c>
      <c r="D169" s="30" t="s">
        <v>671</v>
      </c>
      <c r="E169" s="25" t="s">
        <v>43</v>
      </c>
      <c r="F169" s="30" t="s">
        <v>672</v>
      </c>
      <c r="G169" s="25" t="s">
        <v>45</v>
      </c>
      <c r="H169" s="32">
        <v>19046.0</v>
      </c>
      <c r="I169" s="26" t="s">
        <v>71</v>
      </c>
      <c r="J169" s="25" t="s">
        <v>611</v>
      </c>
      <c r="K169" s="25" t="s">
        <v>49</v>
      </c>
      <c r="L169" s="25" t="s">
        <v>673</v>
      </c>
      <c r="M169" s="25" t="s">
        <v>51</v>
      </c>
      <c r="N169" s="25" t="s">
        <v>51</v>
      </c>
      <c r="O169" s="26" t="s">
        <v>613</v>
      </c>
      <c r="P169" s="21" t="s">
        <v>53</v>
      </c>
      <c r="Q169" s="22">
        <v>0.04097222222222222</v>
      </c>
      <c r="R169" s="13">
        <v>0.03680555555555556</v>
      </c>
      <c r="S169" s="15">
        <f t="shared" si="32"/>
        <v>0.07777777778</v>
      </c>
      <c r="T169" s="29">
        <v>46002.25</v>
      </c>
      <c r="U169" s="25" t="s">
        <v>55</v>
      </c>
      <c r="V169" s="13">
        <f t="shared" si="1"/>
        <v>0.07777777778</v>
      </c>
      <c r="W169" s="19" t="s">
        <v>56</v>
      </c>
      <c r="X169" s="20" t="s">
        <v>57</v>
      </c>
      <c r="Y169" s="25" t="s">
        <v>503</v>
      </c>
      <c r="Z169" s="36"/>
      <c r="AA169" s="36"/>
      <c r="AB169" s="26" t="s">
        <v>45</v>
      </c>
      <c r="AC169" s="36"/>
      <c r="AD169" s="25" t="s">
        <v>614</v>
      </c>
      <c r="AE169" s="36"/>
      <c r="AF169" s="36"/>
      <c r="AG169" s="36"/>
      <c r="AH169" s="36"/>
      <c r="AI169" s="36"/>
      <c r="AJ169" s="36"/>
      <c r="AK169" s="36"/>
      <c r="AL169" s="36"/>
      <c r="AM169" s="37"/>
    </row>
    <row r="170" ht="15.75" customHeight="1">
      <c r="A170" s="30" t="s">
        <v>674</v>
      </c>
      <c r="C170" s="30" t="s">
        <v>675</v>
      </c>
      <c r="D170" s="30" t="s">
        <v>676</v>
      </c>
      <c r="E170" s="25" t="s">
        <v>43</v>
      </c>
      <c r="F170" s="30" t="s">
        <v>677</v>
      </c>
      <c r="G170" s="25" t="s">
        <v>45</v>
      </c>
      <c r="H170" s="35">
        <v>20186.0</v>
      </c>
      <c r="I170" s="26" t="s">
        <v>71</v>
      </c>
      <c r="J170" s="25" t="s">
        <v>611</v>
      </c>
      <c r="K170" s="25" t="s">
        <v>49</v>
      </c>
      <c r="L170" s="25" t="s">
        <v>678</v>
      </c>
      <c r="M170" s="25" t="s">
        <v>51</v>
      </c>
      <c r="N170" s="25" t="s">
        <v>51</v>
      </c>
      <c r="O170" s="26" t="s">
        <v>613</v>
      </c>
      <c r="P170" s="21" t="s">
        <v>53</v>
      </c>
      <c r="Q170" s="22">
        <v>0.04097222222222222</v>
      </c>
      <c r="R170" s="13">
        <v>0.03680555555555556</v>
      </c>
      <c r="S170" s="15">
        <f t="shared" si="32"/>
        <v>0.07777777778</v>
      </c>
      <c r="T170" s="29">
        <v>46002.25</v>
      </c>
      <c r="U170" s="25" t="s">
        <v>55</v>
      </c>
      <c r="V170" s="13">
        <f t="shared" si="1"/>
        <v>0.07777777778</v>
      </c>
      <c r="W170" s="19" t="s">
        <v>56</v>
      </c>
      <c r="X170" s="20" t="s">
        <v>57</v>
      </c>
      <c r="Y170" s="25" t="s">
        <v>503</v>
      </c>
      <c r="Z170" s="38"/>
      <c r="AA170" s="38"/>
      <c r="AB170" s="26" t="s">
        <v>45</v>
      </c>
      <c r="AC170" s="38"/>
      <c r="AD170" s="25" t="s">
        <v>614</v>
      </c>
      <c r="AE170" s="38"/>
      <c r="AF170" s="38"/>
      <c r="AG170" s="38"/>
      <c r="AH170" s="38"/>
      <c r="AI170" s="38"/>
      <c r="AJ170" s="38"/>
      <c r="AK170" s="38"/>
      <c r="AL170" s="38"/>
      <c r="AM170" s="39"/>
    </row>
    <row r="171" ht="15.75" customHeight="1">
      <c r="A171" s="30" t="s">
        <v>679</v>
      </c>
      <c r="C171" s="30" t="s">
        <v>680</v>
      </c>
      <c r="D171" s="30" t="s">
        <v>681</v>
      </c>
      <c r="E171" s="25" t="s">
        <v>43</v>
      </c>
      <c r="F171" s="30" t="s">
        <v>682</v>
      </c>
      <c r="G171" s="25" t="s">
        <v>45</v>
      </c>
      <c r="H171" s="35">
        <v>23840.0</v>
      </c>
      <c r="I171" s="26" t="s">
        <v>71</v>
      </c>
      <c r="J171" s="25" t="s">
        <v>611</v>
      </c>
      <c r="K171" s="25" t="s">
        <v>49</v>
      </c>
      <c r="L171" s="25" t="s">
        <v>683</v>
      </c>
      <c r="M171" s="25" t="s">
        <v>51</v>
      </c>
      <c r="N171" s="25" t="s">
        <v>51</v>
      </c>
      <c r="O171" s="26" t="s">
        <v>613</v>
      </c>
      <c r="P171" s="21" t="s">
        <v>53</v>
      </c>
      <c r="Q171" s="22">
        <v>0.04097222222222222</v>
      </c>
      <c r="R171" s="13">
        <v>0.03680555555555556</v>
      </c>
      <c r="S171" s="15">
        <f t="shared" si="32"/>
        <v>0.07777777778</v>
      </c>
      <c r="T171" s="29">
        <v>46002.25</v>
      </c>
      <c r="U171" s="25" t="s">
        <v>55</v>
      </c>
      <c r="V171" s="13">
        <f t="shared" si="1"/>
        <v>0.07777777778</v>
      </c>
      <c r="W171" s="19" t="s">
        <v>56</v>
      </c>
      <c r="X171" s="20" t="s">
        <v>57</v>
      </c>
      <c r="Y171" s="25" t="s">
        <v>503</v>
      </c>
      <c r="Z171" s="36"/>
      <c r="AA171" s="36"/>
      <c r="AB171" s="26" t="s">
        <v>45</v>
      </c>
      <c r="AC171" s="36"/>
      <c r="AD171" s="25" t="s">
        <v>614</v>
      </c>
      <c r="AE171" s="36"/>
      <c r="AF171" s="36"/>
      <c r="AG171" s="36"/>
      <c r="AH171" s="36"/>
      <c r="AI171" s="36"/>
      <c r="AJ171" s="36"/>
      <c r="AK171" s="36"/>
      <c r="AL171" s="36"/>
      <c r="AM171" s="37"/>
    </row>
    <row r="172" ht="15.75" customHeight="1">
      <c r="A172" s="30" t="s">
        <v>684</v>
      </c>
      <c r="B172" s="30" t="s">
        <v>685</v>
      </c>
      <c r="C172" s="30" t="s">
        <v>686</v>
      </c>
      <c r="D172" s="30" t="s">
        <v>687</v>
      </c>
      <c r="E172" s="25" t="s">
        <v>43</v>
      </c>
      <c r="F172" s="30" t="s">
        <v>688</v>
      </c>
      <c r="G172" s="25" t="s">
        <v>45</v>
      </c>
      <c r="H172" s="32">
        <v>21074.0</v>
      </c>
      <c r="I172" s="26" t="s">
        <v>71</v>
      </c>
      <c r="J172" s="25" t="s">
        <v>611</v>
      </c>
      <c r="K172" s="25" t="s">
        <v>49</v>
      </c>
      <c r="L172" s="25" t="s">
        <v>689</v>
      </c>
      <c r="M172" s="25" t="s">
        <v>51</v>
      </c>
      <c r="N172" s="25" t="s">
        <v>51</v>
      </c>
      <c r="O172" s="26" t="s">
        <v>613</v>
      </c>
      <c r="P172" s="21" t="s">
        <v>53</v>
      </c>
      <c r="Q172" s="22">
        <v>0.04097222222222222</v>
      </c>
      <c r="R172" s="13">
        <v>0.03680555555555556</v>
      </c>
      <c r="S172" s="15">
        <f t="shared" si="32"/>
        <v>0.07777777778</v>
      </c>
      <c r="T172" s="29">
        <v>46002.25</v>
      </c>
      <c r="U172" s="25" t="s">
        <v>55</v>
      </c>
      <c r="V172" s="13">
        <f t="shared" si="1"/>
        <v>0.07777777778</v>
      </c>
      <c r="W172" s="19" t="s">
        <v>56</v>
      </c>
      <c r="X172" s="20" t="s">
        <v>57</v>
      </c>
      <c r="Y172" s="25" t="s">
        <v>503</v>
      </c>
      <c r="Z172" s="38"/>
      <c r="AA172" s="38"/>
      <c r="AB172" s="26" t="s">
        <v>45</v>
      </c>
      <c r="AC172" s="38"/>
      <c r="AD172" s="25" t="s">
        <v>614</v>
      </c>
      <c r="AE172" s="38"/>
      <c r="AF172" s="38"/>
      <c r="AG172" s="38"/>
      <c r="AH172" s="38"/>
      <c r="AI172" s="38"/>
      <c r="AJ172" s="38"/>
      <c r="AK172" s="38"/>
      <c r="AL172" s="38"/>
      <c r="AM172" s="39"/>
    </row>
    <row r="173" ht="15.75" customHeight="1">
      <c r="A173" s="30" t="s">
        <v>690</v>
      </c>
      <c r="B173" s="30" t="s">
        <v>691</v>
      </c>
      <c r="C173" s="30" t="s">
        <v>692</v>
      </c>
      <c r="D173" s="30" t="s">
        <v>693</v>
      </c>
      <c r="E173" s="25" t="s">
        <v>43</v>
      </c>
      <c r="F173" s="30" t="s">
        <v>694</v>
      </c>
      <c r="G173" s="25" t="s">
        <v>45</v>
      </c>
      <c r="H173" s="32">
        <v>21483.0</v>
      </c>
      <c r="I173" s="26" t="s">
        <v>71</v>
      </c>
      <c r="J173" s="25" t="s">
        <v>611</v>
      </c>
      <c r="K173" s="25" t="s">
        <v>49</v>
      </c>
      <c r="L173" s="25" t="s">
        <v>695</v>
      </c>
      <c r="M173" s="25" t="s">
        <v>51</v>
      </c>
      <c r="N173" s="25" t="s">
        <v>51</v>
      </c>
      <c r="O173" s="26" t="s">
        <v>613</v>
      </c>
      <c r="P173" s="21" t="s">
        <v>53</v>
      </c>
      <c r="Q173" s="22">
        <v>0.04097222222222222</v>
      </c>
      <c r="R173" s="13">
        <v>0.03680555555555556</v>
      </c>
      <c r="S173" s="15">
        <f t="shared" si="32"/>
        <v>0.07777777778</v>
      </c>
      <c r="T173" s="29">
        <v>46002.25</v>
      </c>
      <c r="U173" s="25" t="s">
        <v>55</v>
      </c>
      <c r="V173" s="13">
        <f t="shared" si="1"/>
        <v>0.07777777778</v>
      </c>
      <c r="W173" s="19" t="s">
        <v>56</v>
      </c>
      <c r="X173" s="20" t="s">
        <v>57</v>
      </c>
      <c r="Y173" s="25" t="s">
        <v>503</v>
      </c>
      <c r="Z173" s="36"/>
      <c r="AA173" s="36"/>
      <c r="AB173" s="26" t="s">
        <v>45</v>
      </c>
      <c r="AC173" s="36"/>
      <c r="AD173" s="25" t="s">
        <v>614</v>
      </c>
      <c r="AE173" s="36"/>
      <c r="AF173" s="36"/>
      <c r="AG173" s="36"/>
      <c r="AH173" s="36"/>
      <c r="AI173" s="36"/>
      <c r="AJ173" s="36"/>
      <c r="AK173" s="36"/>
      <c r="AL173" s="36"/>
      <c r="AM173" s="37"/>
    </row>
    <row r="174" ht="15.75" customHeight="1">
      <c r="A174" s="30" t="s">
        <v>696</v>
      </c>
      <c r="C174" s="30" t="s">
        <v>697</v>
      </c>
      <c r="D174" s="30" t="s">
        <v>698</v>
      </c>
      <c r="E174" s="25" t="s">
        <v>43</v>
      </c>
      <c r="F174" s="30" t="s">
        <v>699</v>
      </c>
      <c r="G174" s="25" t="s">
        <v>45</v>
      </c>
      <c r="H174" s="32">
        <v>21909.0</v>
      </c>
      <c r="I174" s="26" t="s">
        <v>71</v>
      </c>
      <c r="J174" s="25" t="s">
        <v>611</v>
      </c>
      <c r="K174" s="25" t="s">
        <v>49</v>
      </c>
      <c r="L174" s="25" t="s">
        <v>700</v>
      </c>
      <c r="M174" s="25" t="s">
        <v>51</v>
      </c>
      <c r="N174" s="25" t="s">
        <v>51</v>
      </c>
      <c r="O174" s="26" t="s">
        <v>613</v>
      </c>
      <c r="P174" s="21" t="s">
        <v>53</v>
      </c>
      <c r="Q174" s="22">
        <v>0.04097222222222222</v>
      </c>
      <c r="R174" s="13">
        <v>0.03680555555555556</v>
      </c>
      <c r="S174" s="15">
        <f t="shared" si="32"/>
        <v>0.07777777778</v>
      </c>
      <c r="T174" s="29">
        <v>46002.25</v>
      </c>
      <c r="U174" s="25" t="s">
        <v>55</v>
      </c>
      <c r="V174" s="13">
        <f t="shared" si="1"/>
        <v>0.07777777778</v>
      </c>
      <c r="W174" s="19" t="s">
        <v>56</v>
      </c>
      <c r="X174" s="20" t="s">
        <v>57</v>
      </c>
      <c r="Y174" s="25" t="s">
        <v>503</v>
      </c>
      <c r="Z174" s="38"/>
      <c r="AA174" s="38"/>
      <c r="AB174" s="26" t="s">
        <v>45</v>
      </c>
      <c r="AC174" s="38"/>
      <c r="AD174" s="25" t="s">
        <v>614</v>
      </c>
      <c r="AE174" s="38"/>
      <c r="AF174" s="38"/>
      <c r="AG174" s="38"/>
      <c r="AH174" s="38"/>
      <c r="AI174" s="38"/>
      <c r="AJ174" s="38"/>
      <c r="AK174" s="38"/>
      <c r="AL174" s="38"/>
      <c r="AM174" s="39"/>
    </row>
    <row r="175" ht="15.75" customHeight="1">
      <c r="A175" s="30" t="s">
        <v>701</v>
      </c>
      <c r="C175" s="30" t="s">
        <v>702</v>
      </c>
      <c r="D175" s="30" t="s">
        <v>703</v>
      </c>
      <c r="E175" s="25" t="s">
        <v>43</v>
      </c>
      <c r="F175" s="30" t="s">
        <v>704</v>
      </c>
      <c r="G175" s="25" t="s">
        <v>45</v>
      </c>
      <c r="H175" s="35">
        <v>18328.0</v>
      </c>
      <c r="I175" s="26" t="s">
        <v>71</v>
      </c>
      <c r="J175" s="25" t="s">
        <v>611</v>
      </c>
      <c r="K175" s="25" t="s">
        <v>49</v>
      </c>
      <c r="L175" s="25" t="s">
        <v>705</v>
      </c>
      <c r="M175" s="25" t="s">
        <v>51</v>
      </c>
      <c r="N175" s="25" t="s">
        <v>51</v>
      </c>
      <c r="O175" s="26" t="s">
        <v>613</v>
      </c>
      <c r="P175" s="21" t="s">
        <v>53</v>
      </c>
      <c r="Q175" s="22">
        <v>0.04097222222222222</v>
      </c>
      <c r="R175" s="13">
        <v>0.03680555555555556</v>
      </c>
      <c r="S175" s="15">
        <f t="shared" si="32"/>
        <v>0.07777777778</v>
      </c>
      <c r="T175" s="29">
        <v>46002.25</v>
      </c>
      <c r="U175" s="25" t="s">
        <v>55</v>
      </c>
      <c r="V175" s="13">
        <f t="shared" si="1"/>
        <v>0.07777777778</v>
      </c>
      <c r="W175" s="19" t="s">
        <v>56</v>
      </c>
      <c r="X175" s="20" t="s">
        <v>57</v>
      </c>
      <c r="Y175" s="25" t="s">
        <v>503</v>
      </c>
      <c r="Z175" s="36"/>
      <c r="AA175" s="36"/>
      <c r="AB175" s="26" t="s">
        <v>45</v>
      </c>
      <c r="AC175" s="36"/>
      <c r="AD175" s="25" t="s">
        <v>614</v>
      </c>
      <c r="AE175" s="36"/>
      <c r="AF175" s="36"/>
      <c r="AG175" s="36"/>
      <c r="AH175" s="36"/>
      <c r="AI175" s="36"/>
      <c r="AJ175" s="36"/>
      <c r="AK175" s="36"/>
      <c r="AL175" s="36"/>
      <c r="AM175" s="37"/>
    </row>
    <row r="176" ht="15.75" customHeight="1">
      <c r="A176" s="30" t="s">
        <v>706</v>
      </c>
      <c r="C176" s="30" t="s">
        <v>174</v>
      </c>
      <c r="D176" s="30" t="s">
        <v>707</v>
      </c>
      <c r="E176" s="25" t="s">
        <v>43</v>
      </c>
      <c r="F176" s="30" t="s">
        <v>708</v>
      </c>
      <c r="G176" s="25" t="s">
        <v>45</v>
      </c>
      <c r="H176" s="32">
        <v>19885.0</v>
      </c>
      <c r="I176" s="26" t="s">
        <v>71</v>
      </c>
      <c r="J176" s="25" t="s">
        <v>611</v>
      </c>
      <c r="K176" s="25" t="s">
        <v>49</v>
      </c>
      <c r="L176" s="25" t="s">
        <v>709</v>
      </c>
      <c r="M176" s="25" t="s">
        <v>51</v>
      </c>
      <c r="N176" s="25" t="s">
        <v>51</v>
      </c>
      <c r="O176" s="26" t="s">
        <v>613</v>
      </c>
      <c r="P176" s="21" t="s">
        <v>53</v>
      </c>
      <c r="Q176" s="22">
        <v>0.04097222222222222</v>
      </c>
      <c r="R176" s="13">
        <v>0.03680555555555556</v>
      </c>
      <c r="S176" s="15">
        <f t="shared" si="32"/>
        <v>0.07777777778</v>
      </c>
      <c r="T176" s="29">
        <v>46002.25</v>
      </c>
      <c r="U176" s="25" t="s">
        <v>55</v>
      </c>
      <c r="V176" s="13">
        <f t="shared" si="1"/>
        <v>0.07777777778</v>
      </c>
      <c r="W176" s="19" t="s">
        <v>56</v>
      </c>
      <c r="X176" s="20" t="s">
        <v>57</v>
      </c>
      <c r="Y176" s="25" t="s">
        <v>503</v>
      </c>
      <c r="Z176" s="38"/>
      <c r="AA176" s="38"/>
      <c r="AB176" s="26" t="s">
        <v>45</v>
      </c>
      <c r="AC176" s="38"/>
      <c r="AD176" s="25" t="s">
        <v>614</v>
      </c>
      <c r="AE176" s="38"/>
      <c r="AF176" s="38"/>
      <c r="AG176" s="38"/>
      <c r="AH176" s="38"/>
      <c r="AI176" s="38"/>
      <c r="AJ176" s="38"/>
      <c r="AK176" s="38"/>
      <c r="AL176" s="38"/>
      <c r="AM176" s="39"/>
    </row>
    <row r="177" ht="15.75" customHeight="1">
      <c r="A177" s="30" t="s">
        <v>710</v>
      </c>
      <c r="C177" s="30" t="s">
        <v>711</v>
      </c>
      <c r="D177" s="30" t="s">
        <v>712</v>
      </c>
      <c r="E177" s="25" t="s">
        <v>43</v>
      </c>
      <c r="F177" s="30" t="s">
        <v>713</v>
      </c>
      <c r="G177" s="25" t="s">
        <v>45</v>
      </c>
      <c r="H177" s="40">
        <v>18035.0</v>
      </c>
      <c r="I177" s="26" t="s">
        <v>71</v>
      </c>
      <c r="J177" s="25" t="s">
        <v>611</v>
      </c>
      <c r="K177" s="25" t="s">
        <v>49</v>
      </c>
      <c r="L177" s="25" t="s">
        <v>714</v>
      </c>
      <c r="M177" s="25" t="s">
        <v>51</v>
      </c>
      <c r="N177" s="25" t="s">
        <v>51</v>
      </c>
      <c r="O177" s="26" t="s">
        <v>613</v>
      </c>
      <c r="P177" s="21" t="s">
        <v>53</v>
      </c>
      <c r="Q177" s="22">
        <v>0.04097222222222222</v>
      </c>
      <c r="R177" s="13">
        <v>0.03680555555555556</v>
      </c>
      <c r="S177" s="15">
        <f t="shared" si="32"/>
        <v>0.07777777778</v>
      </c>
      <c r="T177" s="29">
        <v>46002.25</v>
      </c>
      <c r="U177" s="25" t="s">
        <v>55</v>
      </c>
      <c r="V177" s="13">
        <f t="shared" si="1"/>
        <v>0.07777777778</v>
      </c>
      <c r="W177" s="19" t="s">
        <v>56</v>
      </c>
      <c r="X177" s="20" t="s">
        <v>57</v>
      </c>
      <c r="Y177" s="25" t="s">
        <v>503</v>
      </c>
      <c r="Z177" s="36"/>
      <c r="AA177" s="36"/>
      <c r="AB177" s="26" t="s">
        <v>45</v>
      </c>
      <c r="AC177" s="36"/>
      <c r="AD177" s="25" t="s">
        <v>614</v>
      </c>
      <c r="AE177" s="36"/>
      <c r="AF177" s="36"/>
      <c r="AG177" s="36"/>
      <c r="AH177" s="36"/>
      <c r="AI177" s="36"/>
      <c r="AJ177" s="36"/>
      <c r="AK177" s="36"/>
      <c r="AL177" s="36"/>
      <c r="AM177" s="37"/>
    </row>
    <row r="178" ht="15.75" customHeight="1">
      <c r="A178" s="30" t="s">
        <v>715</v>
      </c>
      <c r="C178" s="30" t="s">
        <v>716</v>
      </c>
      <c r="D178" s="30" t="s">
        <v>717</v>
      </c>
      <c r="E178" s="25" t="s">
        <v>43</v>
      </c>
      <c r="F178" s="30" t="s">
        <v>718</v>
      </c>
      <c r="G178" s="25" t="s">
        <v>45</v>
      </c>
      <c r="H178" s="41">
        <v>22038.0</v>
      </c>
      <c r="I178" s="26" t="s">
        <v>71</v>
      </c>
      <c r="J178" s="25" t="s">
        <v>611</v>
      </c>
      <c r="K178" s="25" t="s">
        <v>49</v>
      </c>
      <c r="L178" s="25" t="s">
        <v>719</v>
      </c>
      <c r="M178" s="25" t="s">
        <v>51</v>
      </c>
      <c r="N178" s="25" t="s">
        <v>51</v>
      </c>
      <c r="O178" s="26" t="s">
        <v>613</v>
      </c>
      <c r="P178" s="21" t="s">
        <v>53</v>
      </c>
      <c r="Q178" s="22">
        <v>0.04097222222222222</v>
      </c>
      <c r="R178" s="13">
        <v>0.03680555555555556</v>
      </c>
      <c r="S178" s="15">
        <f t="shared" si="32"/>
        <v>0.07777777778</v>
      </c>
      <c r="T178" s="29">
        <v>46002.25</v>
      </c>
      <c r="U178" s="25" t="s">
        <v>55</v>
      </c>
      <c r="V178" s="13">
        <f t="shared" si="1"/>
        <v>0.07777777778</v>
      </c>
      <c r="W178" s="19" t="s">
        <v>56</v>
      </c>
      <c r="X178" s="20" t="s">
        <v>57</v>
      </c>
      <c r="Y178" s="25" t="s">
        <v>503</v>
      </c>
      <c r="Z178" s="38"/>
      <c r="AA178" s="38"/>
      <c r="AB178" s="26" t="s">
        <v>45</v>
      </c>
      <c r="AC178" s="38"/>
      <c r="AD178" s="25" t="s">
        <v>614</v>
      </c>
      <c r="AE178" s="38"/>
      <c r="AF178" s="38"/>
      <c r="AG178" s="38"/>
      <c r="AH178" s="38"/>
      <c r="AI178" s="38"/>
      <c r="AJ178" s="38"/>
      <c r="AK178" s="38"/>
      <c r="AL178" s="38"/>
      <c r="AM178" s="39"/>
    </row>
    <row r="179" ht="15.75" customHeight="1">
      <c r="A179" s="30" t="s">
        <v>488</v>
      </c>
      <c r="C179" s="30" t="s">
        <v>720</v>
      </c>
      <c r="D179" s="30" t="s">
        <v>721</v>
      </c>
      <c r="E179" s="25" t="s">
        <v>43</v>
      </c>
      <c r="F179" s="30" t="s">
        <v>722</v>
      </c>
      <c r="G179" s="25" t="s">
        <v>45</v>
      </c>
      <c r="H179" s="35">
        <v>17632.0</v>
      </c>
      <c r="I179" s="26" t="s">
        <v>71</v>
      </c>
      <c r="J179" s="25" t="s">
        <v>611</v>
      </c>
      <c r="K179" s="25" t="s">
        <v>49</v>
      </c>
      <c r="L179" s="25" t="s">
        <v>723</v>
      </c>
      <c r="M179" s="25" t="s">
        <v>51</v>
      </c>
      <c r="N179" s="25" t="s">
        <v>51</v>
      </c>
      <c r="O179" s="26" t="s">
        <v>613</v>
      </c>
      <c r="P179" s="21" t="s">
        <v>53</v>
      </c>
      <c r="Q179" s="22">
        <v>0.04097222222222222</v>
      </c>
      <c r="R179" s="13">
        <v>0.03680555555555556</v>
      </c>
      <c r="S179" s="15">
        <f t="shared" si="32"/>
        <v>0.07777777778</v>
      </c>
      <c r="T179" s="29">
        <v>46002.25</v>
      </c>
      <c r="U179" s="25" t="s">
        <v>55</v>
      </c>
      <c r="V179" s="13">
        <f t="shared" si="1"/>
        <v>0.07777777778</v>
      </c>
      <c r="W179" s="19" t="s">
        <v>56</v>
      </c>
      <c r="X179" s="20" t="s">
        <v>57</v>
      </c>
      <c r="Y179" s="25" t="s">
        <v>503</v>
      </c>
      <c r="Z179" s="36"/>
      <c r="AA179" s="36"/>
      <c r="AB179" s="26" t="s">
        <v>45</v>
      </c>
      <c r="AC179" s="36"/>
      <c r="AD179" s="25" t="s">
        <v>614</v>
      </c>
      <c r="AE179" s="36"/>
      <c r="AF179" s="36"/>
      <c r="AG179" s="36"/>
      <c r="AH179" s="36"/>
      <c r="AI179" s="36"/>
      <c r="AJ179" s="36"/>
      <c r="AK179" s="36"/>
      <c r="AL179" s="36"/>
      <c r="AM179" s="37"/>
    </row>
    <row r="180" ht="15.75" customHeight="1">
      <c r="A180" s="30" t="s">
        <v>724</v>
      </c>
      <c r="C180" s="30" t="s">
        <v>725</v>
      </c>
      <c r="D180" s="30" t="s">
        <v>726</v>
      </c>
      <c r="E180" s="25" t="s">
        <v>43</v>
      </c>
      <c r="F180" s="30" t="s">
        <v>727</v>
      </c>
      <c r="G180" s="25" t="s">
        <v>45</v>
      </c>
      <c r="H180" s="35">
        <v>22533.0</v>
      </c>
      <c r="I180" s="26" t="s">
        <v>71</v>
      </c>
      <c r="J180" s="25" t="s">
        <v>611</v>
      </c>
      <c r="K180" s="25" t="s">
        <v>49</v>
      </c>
      <c r="L180" s="25" t="s">
        <v>728</v>
      </c>
      <c r="M180" s="25" t="s">
        <v>51</v>
      </c>
      <c r="N180" s="25" t="s">
        <v>51</v>
      </c>
      <c r="O180" s="26" t="s">
        <v>613</v>
      </c>
      <c r="P180" s="21" t="s">
        <v>53</v>
      </c>
      <c r="Q180" s="22">
        <v>0.04097222222222222</v>
      </c>
      <c r="R180" s="13">
        <v>0.03680555555555556</v>
      </c>
      <c r="S180" s="15">
        <f t="shared" si="32"/>
        <v>0.07777777778</v>
      </c>
      <c r="T180" s="29">
        <v>46002.25</v>
      </c>
      <c r="U180" s="25" t="s">
        <v>55</v>
      </c>
      <c r="V180" s="13">
        <f t="shared" si="1"/>
        <v>0.07777777778</v>
      </c>
      <c r="W180" s="19" t="s">
        <v>56</v>
      </c>
      <c r="X180" s="20" t="s">
        <v>57</v>
      </c>
      <c r="Y180" s="25" t="s">
        <v>503</v>
      </c>
      <c r="Z180" s="38"/>
      <c r="AA180" s="38"/>
      <c r="AB180" s="26" t="s">
        <v>45</v>
      </c>
      <c r="AC180" s="38"/>
      <c r="AD180" s="25" t="s">
        <v>614</v>
      </c>
      <c r="AE180" s="38"/>
      <c r="AF180" s="38"/>
      <c r="AG180" s="38"/>
      <c r="AH180" s="38"/>
      <c r="AI180" s="38"/>
      <c r="AJ180" s="38"/>
      <c r="AK180" s="38"/>
      <c r="AL180" s="38"/>
      <c r="AM180" s="39"/>
    </row>
    <row r="181" ht="15.75" customHeight="1">
      <c r="A181" s="30" t="s">
        <v>341</v>
      </c>
      <c r="C181" s="30" t="s">
        <v>729</v>
      </c>
      <c r="D181" s="30" t="s">
        <v>730</v>
      </c>
      <c r="E181" s="25" t="s">
        <v>43</v>
      </c>
      <c r="F181" s="30" t="s">
        <v>731</v>
      </c>
      <c r="G181" s="25" t="s">
        <v>45</v>
      </c>
      <c r="H181" s="41">
        <v>20580.0</v>
      </c>
      <c r="I181" s="26" t="s">
        <v>71</v>
      </c>
      <c r="J181" s="25" t="s">
        <v>611</v>
      </c>
      <c r="K181" s="25" t="s">
        <v>49</v>
      </c>
      <c r="L181" s="25" t="s">
        <v>732</v>
      </c>
      <c r="M181" s="25" t="s">
        <v>51</v>
      </c>
      <c r="N181" s="25" t="s">
        <v>51</v>
      </c>
      <c r="O181" s="26" t="s">
        <v>613</v>
      </c>
      <c r="P181" s="21" t="s">
        <v>53</v>
      </c>
      <c r="Q181" s="22">
        <v>0.04097222222222222</v>
      </c>
      <c r="R181" s="13">
        <v>0.03680555555555556</v>
      </c>
      <c r="S181" s="15">
        <f t="shared" si="32"/>
        <v>0.07777777778</v>
      </c>
      <c r="T181" s="29">
        <v>46002.25</v>
      </c>
      <c r="U181" s="25" t="s">
        <v>55</v>
      </c>
      <c r="V181" s="13">
        <f t="shared" si="1"/>
        <v>0.07777777778</v>
      </c>
      <c r="W181" s="19" t="s">
        <v>56</v>
      </c>
      <c r="X181" s="20" t="s">
        <v>57</v>
      </c>
      <c r="Y181" s="25" t="s">
        <v>503</v>
      </c>
      <c r="Z181" s="36"/>
      <c r="AA181" s="36"/>
      <c r="AB181" s="26" t="s">
        <v>45</v>
      </c>
      <c r="AC181" s="36"/>
      <c r="AD181" s="25" t="s">
        <v>614</v>
      </c>
      <c r="AE181" s="36"/>
      <c r="AF181" s="36"/>
      <c r="AG181" s="36"/>
      <c r="AH181" s="36"/>
      <c r="AI181" s="36"/>
      <c r="AJ181" s="36"/>
      <c r="AK181" s="36"/>
      <c r="AL181" s="36"/>
      <c r="AM181" s="37"/>
    </row>
    <row r="182" ht="15.75" customHeight="1">
      <c r="A182" s="30" t="s">
        <v>733</v>
      </c>
      <c r="C182" s="30" t="s">
        <v>734</v>
      </c>
      <c r="D182" s="30" t="s">
        <v>735</v>
      </c>
      <c r="E182" s="25" t="s">
        <v>43</v>
      </c>
      <c r="F182" s="30" t="s">
        <v>736</v>
      </c>
      <c r="G182" s="25" t="s">
        <v>45</v>
      </c>
      <c r="H182" s="32">
        <v>24731.0</v>
      </c>
      <c r="I182" s="26" t="s">
        <v>71</v>
      </c>
      <c r="J182" s="25" t="s">
        <v>611</v>
      </c>
      <c r="K182" s="25" t="s">
        <v>49</v>
      </c>
      <c r="L182" s="25" t="s">
        <v>737</v>
      </c>
      <c r="M182" s="25" t="s">
        <v>51</v>
      </c>
      <c r="N182" s="25" t="s">
        <v>51</v>
      </c>
      <c r="O182" s="26" t="s">
        <v>613</v>
      </c>
      <c r="P182" s="21" t="s">
        <v>53</v>
      </c>
      <c r="Q182" s="22">
        <v>0.04097222222222222</v>
      </c>
      <c r="R182" s="13">
        <v>0.03680555555555556</v>
      </c>
      <c r="S182" s="15">
        <f t="shared" si="32"/>
        <v>0.07777777778</v>
      </c>
      <c r="T182" s="29">
        <v>46002.25</v>
      </c>
      <c r="U182" s="25" t="s">
        <v>55</v>
      </c>
      <c r="V182" s="13">
        <f t="shared" si="1"/>
        <v>0.07777777778</v>
      </c>
      <c r="W182" s="19" t="s">
        <v>56</v>
      </c>
      <c r="X182" s="20" t="s">
        <v>57</v>
      </c>
      <c r="Y182" s="25" t="s">
        <v>503</v>
      </c>
      <c r="Z182" s="38"/>
      <c r="AA182" s="38"/>
      <c r="AB182" s="26" t="s">
        <v>45</v>
      </c>
      <c r="AC182" s="38"/>
      <c r="AD182" s="25" t="s">
        <v>614</v>
      </c>
      <c r="AE182" s="38"/>
      <c r="AF182" s="38"/>
      <c r="AG182" s="38"/>
      <c r="AH182" s="38"/>
      <c r="AI182" s="38"/>
      <c r="AJ182" s="38"/>
      <c r="AK182" s="38"/>
      <c r="AL182" s="38"/>
      <c r="AM182" s="39"/>
    </row>
    <row r="183" ht="15.75" customHeight="1">
      <c r="A183" s="30" t="s">
        <v>738</v>
      </c>
      <c r="C183" s="30" t="s">
        <v>739</v>
      </c>
      <c r="D183" s="30" t="s">
        <v>740</v>
      </c>
      <c r="E183" s="25" t="s">
        <v>43</v>
      </c>
      <c r="F183" s="30" t="s">
        <v>741</v>
      </c>
      <c r="G183" s="25" t="s">
        <v>45</v>
      </c>
      <c r="H183" s="32">
        <v>21716.0</v>
      </c>
      <c r="I183" s="26" t="s">
        <v>71</v>
      </c>
      <c r="J183" s="25" t="s">
        <v>611</v>
      </c>
      <c r="K183" s="25" t="s">
        <v>49</v>
      </c>
      <c r="L183" s="25" t="s">
        <v>742</v>
      </c>
      <c r="M183" s="25" t="s">
        <v>51</v>
      </c>
      <c r="N183" s="25" t="s">
        <v>51</v>
      </c>
      <c r="O183" s="26" t="s">
        <v>613</v>
      </c>
      <c r="P183" s="21" t="s">
        <v>53</v>
      </c>
      <c r="Q183" s="22">
        <v>0.04097222222222222</v>
      </c>
      <c r="R183" s="13">
        <v>0.03680555555555556</v>
      </c>
      <c r="S183" s="15">
        <f t="shared" si="32"/>
        <v>0.07777777778</v>
      </c>
      <c r="T183" s="29">
        <v>46002.25</v>
      </c>
      <c r="U183" s="25" t="s">
        <v>55</v>
      </c>
      <c r="V183" s="13">
        <f t="shared" si="1"/>
        <v>0.07777777778</v>
      </c>
      <c r="W183" s="19" t="s">
        <v>56</v>
      </c>
      <c r="X183" s="20" t="s">
        <v>57</v>
      </c>
      <c r="Y183" s="25" t="s">
        <v>503</v>
      </c>
      <c r="Z183" s="36"/>
      <c r="AA183" s="36"/>
      <c r="AB183" s="26" t="s">
        <v>45</v>
      </c>
      <c r="AC183" s="36"/>
      <c r="AD183" s="25" t="s">
        <v>614</v>
      </c>
      <c r="AE183" s="36"/>
      <c r="AF183" s="36"/>
      <c r="AG183" s="36"/>
      <c r="AH183" s="36"/>
      <c r="AI183" s="36"/>
      <c r="AJ183" s="36"/>
      <c r="AK183" s="36"/>
      <c r="AL183" s="36"/>
      <c r="AM183" s="37"/>
    </row>
    <row r="184" ht="15.75" customHeight="1">
      <c r="A184" s="30" t="s">
        <v>743</v>
      </c>
      <c r="C184" s="30" t="s">
        <v>744</v>
      </c>
      <c r="D184" s="30" t="s">
        <v>745</v>
      </c>
      <c r="E184" s="25" t="s">
        <v>43</v>
      </c>
      <c r="F184" s="30" t="s">
        <v>746</v>
      </c>
      <c r="G184" s="25" t="s">
        <v>45</v>
      </c>
      <c r="H184" s="35">
        <v>30286.0</v>
      </c>
      <c r="I184" s="26" t="s">
        <v>71</v>
      </c>
      <c r="J184" s="25" t="s">
        <v>611</v>
      </c>
      <c r="K184" s="25" t="s">
        <v>49</v>
      </c>
      <c r="L184" s="25" t="s">
        <v>747</v>
      </c>
      <c r="M184" s="25" t="s">
        <v>51</v>
      </c>
      <c r="N184" s="25" t="s">
        <v>51</v>
      </c>
      <c r="O184" s="26" t="s">
        <v>613</v>
      </c>
      <c r="P184" s="21" t="s">
        <v>53</v>
      </c>
      <c r="Q184" s="22">
        <v>0.04097222222222222</v>
      </c>
      <c r="R184" s="13">
        <v>0.03680555555555556</v>
      </c>
      <c r="S184" s="15">
        <f t="shared" si="32"/>
        <v>0.07777777778</v>
      </c>
      <c r="T184" s="29">
        <v>46002.25</v>
      </c>
      <c r="U184" s="25" t="s">
        <v>55</v>
      </c>
      <c r="V184" s="13">
        <f t="shared" si="1"/>
        <v>0.07777777778</v>
      </c>
      <c r="W184" s="19" t="s">
        <v>56</v>
      </c>
      <c r="X184" s="20" t="s">
        <v>57</v>
      </c>
      <c r="Y184" s="25" t="s">
        <v>503</v>
      </c>
      <c r="Z184" s="38"/>
      <c r="AA184" s="38"/>
      <c r="AB184" s="26" t="s">
        <v>45</v>
      </c>
      <c r="AC184" s="38"/>
      <c r="AD184" s="25" t="s">
        <v>614</v>
      </c>
      <c r="AE184" s="38"/>
      <c r="AF184" s="38"/>
      <c r="AG184" s="38"/>
      <c r="AH184" s="38"/>
      <c r="AI184" s="38"/>
      <c r="AJ184" s="38"/>
      <c r="AK184" s="38"/>
      <c r="AL184" s="38"/>
      <c r="AM184" s="39"/>
    </row>
    <row r="185" ht="15.75" customHeight="1">
      <c r="A185" s="30" t="s">
        <v>748</v>
      </c>
      <c r="C185" s="30" t="s">
        <v>749</v>
      </c>
      <c r="D185" s="30" t="s">
        <v>750</v>
      </c>
      <c r="E185" s="25" t="s">
        <v>43</v>
      </c>
      <c r="F185" s="30" t="s">
        <v>751</v>
      </c>
      <c r="G185" s="25" t="s">
        <v>45</v>
      </c>
      <c r="H185" s="32">
        <v>20362.0</v>
      </c>
      <c r="I185" s="26" t="s">
        <v>71</v>
      </c>
      <c r="J185" s="25" t="s">
        <v>611</v>
      </c>
      <c r="K185" s="25" t="s">
        <v>49</v>
      </c>
      <c r="L185" s="25" t="s">
        <v>752</v>
      </c>
      <c r="M185" s="25" t="s">
        <v>51</v>
      </c>
      <c r="N185" s="25" t="s">
        <v>51</v>
      </c>
      <c r="O185" s="26" t="s">
        <v>613</v>
      </c>
      <c r="P185" s="21" t="s">
        <v>53</v>
      </c>
      <c r="Q185" s="22">
        <v>0.04097222222222222</v>
      </c>
      <c r="R185" s="13">
        <v>0.03680555555555556</v>
      </c>
      <c r="S185" s="15">
        <f t="shared" si="32"/>
        <v>0.07777777778</v>
      </c>
      <c r="T185" s="29">
        <v>46002.25</v>
      </c>
      <c r="U185" s="25" t="s">
        <v>55</v>
      </c>
      <c r="V185" s="13">
        <f t="shared" si="1"/>
        <v>0.07777777778</v>
      </c>
      <c r="W185" s="19" t="s">
        <v>56</v>
      </c>
      <c r="X185" s="20" t="s">
        <v>57</v>
      </c>
      <c r="Y185" s="25" t="s">
        <v>503</v>
      </c>
      <c r="Z185" s="36"/>
      <c r="AA185" s="36"/>
      <c r="AB185" s="26" t="s">
        <v>45</v>
      </c>
      <c r="AC185" s="36"/>
      <c r="AD185" s="25" t="s">
        <v>614</v>
      </c>
      <c r="AE185" s="36"/>
      <c r="AF185" s="36"/>
      <c r="AG185" s="36"/>
      <c r="AH185" s="36"/>
      <c r="AI185" s="36"/>
      <c r="AJ185" s="36"/>
      <c r="AK185" s="36"/>
      <c r="AL185" s="36"/>
      <c r="AM185" s="37"/>
    </row>
    <row r="186" ht="15.75" customHeight="1">
      <c r="A186" s="30" t="s">
        <v>465</v>
      </c>
      <c r="C186" s="30" t="s">
        <v>753</v>
      </c>
      <c r="D186" s="30" t="s">
        <v>754</v>
      </c>
      <c r="E186" s="25" t="s">
        <v>43</v>
      </c>
      <c r="F186" s="30" t="s">
        <v>755</v>
      </c>
      <c r="G186" s="25" t="s">
        <v>45</v>
      </c>
      <c r="H186" s="35">
        <v>21955.0</v>
      </c>
      <c r="I186" s="26" t="s">
        <v>71</v>
      </c>
      <c r="J186" s="25" t="s">
        <v>611</v>
      </c>
      <c r="K186" s="25" t="s">
        <v>49</v>
      </c>
      <c r="L186" s="25" t="s">
        <v>756</v>
      </c>
      <c r="M186" s="25" t="s">
        <v>51</v>
      </c>
      <c r="N186" s="25" t="s">
        <v>51</v>
      </c>
      <c r="O186" s="26" t="s">
        <v>613</v>
      </c>
      <c r="P186" s="21" t="s">
        <v>53</v>
      </c>
      <c r="Q186" s="22">
        <v>0.04097222222222222</v>
      </c>
      <c r="R186" s="13">
        <v>0.03680555555555556</v>
      </c>
      <c r="S186" s="15">
        <f t="shared" si="32"/>
        <v>0.07777777778</v>
      </c>
      <c r="T186" s="29">
        <v>46002.25</v>
      </c>
      <c r="U186" s="25" t="s">
        <v>55</v>
      </c>
      <c r="V186" s="13">
        <f t="shared" si="1"/>
        <v>0.07777777778</v>
      </c>
      <c r="W186" s="19" t="s">
        <v>56</v>
      </c>
      <c r="X186" s="20" t="s">
        <v>57</v>
      </c>
      <c r="Y186" s="25" t="s">
        <v>503</v>
      </c>
      <c r="Z186" s="38"/>
      <c r="AA186" s="38"/>
      <c r="AB186" s="26" t="s">
        <v>45</v>
      </c>
      <c r="AC186" s="38"/>
      <c r="AD186" s="25" t="s">
        <v>614</v>
      </c>
      <c r="AE186" s="38"/>
      <c r="AF186" s="38"/>
      <c r="AG186" s="38"/>
      <c r="AH186" s="38"/>
      <c r="AI186" s="38"/>
      <c r="AJ186" s="38"/>
      <c r="AK186" s="38"/>
      <c r="AL186" s="38"/>
      <c r="AM186" s="39"/>
    </row>
    <row r="187" ht="15.75" customHeight="1">
      <c r="A187" s="30" t="s">
        <v>757</v>
      </c>
      <c r="C187" s="30" t="s">
        <v>758</v>
      </c>
      <c r="D187" s="30" t="s">
        <v>759</v>
      </c>
      <c r="E187" s="25" t="s">
        <v>43</v>
      </c>
      <c r="F187" s="30" t="s">
        <v>760</v>
      </c>
      <c r="G187" s="25" t="s">
        <v>45</v>
      </c>
      <c r="H187" s="35">
        <v>19146.0</v>
      </c>
      <c r="I187" s="26" t="s">
        <v>71</v>
      </c>
      <c r="J187" s="25" t="s">
        <v>611</v>
      </c>
      <c r="K187" s="25" t="s">
        <v>49</v>
      </c>
      <c r="L187" s="25" t="s">
        <v>761</v>
      </c>
      <c r="M187" s="25" t="s">
        <v>51</v>
      </c>
      <c r="N187" s="25" t="s">
        <v>51</v>
      </c>
      <c r="O187" s="26" t="s">
        <v>613</v>
      </c>
      <c r="P187" s="21" t="s">
        <v>53</v>
      </c>
      <c r="Q187" s="22">
        <v>0.04097222222222222</v>
      </c>
      <c r="R187" s="13">
        <v>0.03680555555555556</v>
      </c>
      <c r="S187" s="15">
        <f t="shared" si="32"/>
        <v>0.07777777778</v>
      </c>
      <c r="T187" s="29">
        <v>46002.25</v>
      </c>
      <c r="U187" s="25" t="s">
        <v>55</v>
      </c>
      <c r="V187" s="13">
        <f t="shared" si="1"/>
        <v>0.07777777778</v>
      </c>
      <c r="W187" s="19" t="s">
        <v>56</v>
      </c>
      <c r="X187" s="20" t="s">
        <v>57</v>
      </c>
      <c r="Y187" s="25" t="s">
        <v>503</v>
      </c>
      <c r="Z187" s="36"/>
      <c r="AA187" s="36"/>
      <c r="AB187" s="26" t="s">
        <v>45</v>
      </c>
      <c r="AC187" s="36"/>
      <c r="AD187" s="25" t="s">
        <v>614</v>
      </c>
      <c r="AE187" s="36"/>
      <c r="AF187" s="36"/>
      <c r="AG187" s="36"/>
      <c r="AH187" s="36"/>
      <c r="AI187" s="36"/>
      <c r="AJ187" s="36"/>
      <c r="AK187" s="36"/>
      <c r="AL187" s="36"/>
      <c r="AM187" s="37"/>
    </row>
    <row r="188" ht="15.75" customHeight="1">
      <c r="A188" s="30" t="s">
        <v>762</v>
      </c>
      <c r="B188" s="30" t="s">
        <v>763</v>
      </c>
      <c r="C188" s="30" t="s">
        <v>642</v>
      </c>
      <c r="D188" s="30" t="s">
        <v>764</v>
      </c>
      <c r="E188" s="25" t="s">
        <v>43</v>
      </c>
      <c r="F188" s="30" t="s">
        <v>765</v>
      </c>
      <c r="G188" s="25" t="s">
        <v>45</v>
      </c>
      <c r="H188" s="40">
        <v>15857.0</v>
      </c>
      <c r="I188" s="26" t="s">
        <v>71</v>
      </c>
      <c r="J188" s="25" t="s">
        <v>611</v>
      </c>
      <c r="K188" s="25" t="s">
        <v>49</v>
      </c>
      <c r="L188" s="25" t="s">
        <v>766</v>
      </c>
      <c r="M188" s="25" t="s">
        <v>51</v>
      </c>
      <c r="N188" s="25" t="s">
        <v>51</v>
      </c>
      <c r="O188" s="26" t="s">
        <v>613</v>
      </c>
      <c r="P188" s="21" t="s">
        <v>53</v>
      </c>
      <c r="Q188" s="22">
        <v>0.04097222222222222</v>
      </c>
      <c r="R188" s="13">
        <v>0.03680555555555556</v>
      </c>
      <c r="S188" s="15">
        <f t="shared" si="32"/>
        <v>0.07777777778</v>
      </c>
      <c r="T188" s="29">
        <v>46002.25</v>
      </c>
      <c r="U188" s="25" t="s">
        <v>55</v>
      </c>
      <c r="V188" s="13">
        <f t="shared" si="1"/>
        <v>0.07777777778</v>
      </c>
      <c r="W188" s="19" t="s">
        <v>56</v>
      </c>
      <c r="X188" s="20" t="s">
        <v>57</v>
      </c>
      <c r="Y188" s="25" t="s">
        <v>503</v>
      </c>
      <c r="Z188" s="38"/>
      <c r="AA188" s="38"/>
      <c r="AB188" s="26" t="s">
        <v>45</v>
      </c>
      <c r="AC188" s="38"/>
      <c r="AD188" s="25" t="s">
        <v>614</v>
      </c>
      <c r="AE188" s="38"/>
      <c r="AF188" s="38"/>
      <c r="AG188" s="38"/>
      <c r="AH188" s="38"/>
      <c r="AI188" s="38"/>
      <c r="AJ188" s="38"/>
      <c r="AK188" s="38"/>
      <c r="AL188" s="38"/>
      <c r="AM188" s="39"/>
    </row>
    <row r="189" ht="15.75" customHeight="1">
      <c r="A189" s="30" t="s">
        <v>767</v>
      </c>
      <c r="B189" s="30" t="s">
        <v>768</v>
      </c>
      <c r="C189" s="30" t="s">
        <v>769</v>
      </c>
      <c r="D189" s="30" t="s">
        <v>770</v>
      </c>
      <c r="E189" s="25" t="s">
        <v>43</v>
      </c>
      <c r="F189" s="30" t="s">
        <v>771</v>
      </c>
      <c r="G189" s="25" t="s">
        <v>45</v>
      </c>
      <c r="H189" s="32">
        <v>20775.0</v>
      </c>
      <c r="I189" s="26" t="s">
        <v>71</v>
      </c>
      <c r="J189" s="25" t="s">
        <v>611</v>
      </c>
      <c r="K189" s="25" t="s">
        <v>49</v>
      </c>
      <c r="L189" s="25" t="s">
        <v>772</v>
      </c>
      <c r="M189" s="25" t="s">
        <v>51</v>
      </c>
      <c r="N189" s="25" t="s">
        <v>51</v>
      </c>
      <c r="O189" s="26" t="s">
        <v>613</v>
      </c>
      <c r="P189" s="21" t="s">
        <v>53</v>
      </c>
      <c r="Q189" s="22">
        <v>0.04097222222222222</v>
      </c>
      <c r="R189" s="13">
        <v>0.03680555555555556</v>
      </c>
      <c r="S189" s="15">
        <f t="shared" si="32"/>
        <v>0.07777777778</v>
      </c>
      <c r="T189" s="29">
        <v>46002.25</v>
      </c>
      <c r="U189" s="25" t="s">
        <v>55</v>
      </c>
      <c r="V189" s="13">
        <f t="shared" si="1"/>
        <v>0.07777777778</v>
      </c>
      <c r="W189" s="19" t="s">
        <v>56</v>
      </c>
      <c r="X189" s="20" t="s">
        <v>57</v>
      </c>
      <c r="Y189" s="25" t="s">
        <v>503</v>
      </c>
      <c r="Z189" s="36"/>
      <c r="AA189" s="36"/>
      <c r="AB189" s="26" t="s">
        <v>45</v>
      </c>
      <c r="AC189" s="36"/>
      <c r="AD189" s="25" t="s">
        <v>614</v>
      </c>
      <c r="AE189" s="36"/>
      <c r="AF189" s="36"/>
      <c r="AG189" s="36"/>
      <c r="AH189" s="36"/>
      <c r="AI189" s="36"/>
      <c r="AJ189" s="36"/>
      <c r="AK189" s="36"/>
      <c r="AL189" s="36"/>
      <c r="AM189" s="37"/>
    </row>
    <row r="190" ht="15.75" customHeight="1">
      <c r="A190" s="30"/>
      <c r="B190" s="30"/>
      <c r="C190" s="30"/>
      <c r="D190" s="30"/>
      <c r="E190" s="25"/>
      <c r="F190" s="30"/>
      <c r="G190" s="25"/>
      <c r="H190" s="32"/>
      <c r="I190" s="26"/>
      <c r="J190" s="25"/>
      <c r="K190" s="25"/>
      <c r="L190" s="25"/>
      <c r="M190" s="25"/>
      <c r="N190" s="25"/>
      <c r="O190" s="26"/>
      <c r="P190" s="21" t="s">
        <v>53</v>
      </c>
      <c r="Q190" s="22"/>
      <c r="R190" s="13"/>
      <c r="S190" s="14"/>
      <c r="T190" s="29"/>
      <c r="U190" s="25"/>
      <c r="V190" s="13"/>
      <c r="W190" s="19"/>
      <c r="X190" s="20"/>
      <c r="Y190" s="25"/>
      <c r="Z190" s="38"/>
      <c r="AA190" s="38"/>
      <c r="AB190" s="26"/>
      <c r="AC190" s="38"/>
      <c r="AD190" s="25"/>
      <c r="AE190" s="38"/>
      <c r="AF190" s="38"/>
      <c r="AG190" s="38"/>
      <c r="AH190" s="38"/>
      <c r="AI190" s="38"/>
      <c r="AJ190" s="38"/>
      <c r="AK190" s="38"/>
      <c r="AL190" s="38"/>
      <c r="AM190" s="39"/>
    </row>
    <row r="191" ht="15.75" customHeight="1">
      <c r="A191" s="30" t="s">
        <v>773</v>
      </c>
      <c r="B191" s="30" t="s">
        <v>774</v>
      </c>
      <c r="C191" s="30" t="s">
        <v>775</v>
      </c>
      <c r="D191" s="30"/>
      <c r="E191" s="25" t="s">
        <v>43</v>
      </c>
      <c r="F191" s="30" t="s">
        <v>776</v>
      </c>
      <c r="G191" s="25" t="s">
        <v>45</v>
      </c>
      <c r="H191" s="32">
        <v>12629.0</v>
      </c>
      <c r="I191" s="26" t="s">
        <v>71</v>
      </c>
      <c r="J191" s="25" t="s">
        <v>611</v>
      </c>
      <c r="K191" s="25" t="s">
        <v>49</v>
      </c>
      <c r="L191" s="25" t="s">
        <v>777</v>
      </c>
      <c r="M191" s="25" t="s">
        <v>51</v>
      </c>
      <c r="N191" s="25" t="s">
        <v>51</v>
      </c>
      <c r="O191" s="26" t="s">
        <v>613</v>
      </c>
      <c r="P191" s="21" t="s">
        <v>53</v>
      </c>
      <c r="Q191" s="22">
        <v>0.04097222222222222</v>
      </c>
      <c r="R191" s="13">
        <v>0.03680555555555556</v>
      </c>
      <c r="S191" s="15">
        <f>Q191+R191</f>
        <v>0.07777777778</v>
      </c>
      <c r="T191" s="29">
        <v>46002.25</v>
      </c>
      <c r="U191" s="25" t="s">
        <v>55</v>
      </c>
      <c r="V191" s="13">
        <f>Q191+R191</f>
        <v>0.07777777778</v>
      </c>
      <c r="W191" s="19" t="s">
        <v>56</v>
      </c>
      <c r="X191" s="20" t="s">
        <v>57</v>
      </c>
      <c r="Y191" s="25" t="s">
        <v>503</v>
      </c>
      <c r="Z191" s="36"/>
      <c r="AA191" s="36"/>
      <c r="AB191" s="26" t="s">
        <v>45</v>
      </c>
      <c r="AC191" s="36"/>
      <c r="AD191" s="25" t="s">
        <v>614</v>
      </c>
      <c r="AE191" s="36"/>
      <c r="AF191" s="36"/>
      <c r="AG191" s="36"/>
      <c r="AH191" s="36"/>
      <c r="AI191" s="36"/>
      <c r="AJ191" s="36"/>
      <c r="AK191" s="36"/>
      <c r="AL191" s="36"/>
      <c r="AM191" s="37"/>
    </row>
    <row r="192" ht="15.75" customHeight="1">
      <c r="A192" s="30"/>
      <c r="B192" s="30"/>
      <c r="C192" s="30"/>
      <c r="D192" s="30"/>
      <c r="E192" s="25"/>
      <c r="F192" s="30"/>
      <c r="G192" s="25"/>
      <c r="H192" s="35"/>
      <c r="I192" s="26"/>
      <c r="J192" s="25"/>
      <c r="K192" s="25"/>
      <c r="L192" s="25"/>
      <c r="M192" s="25"/>
      <c r="N192" s="25"/>
      <c r="O192" s="26"/>
      <c r="P192" s="21" t="s">
        <v>53</v>
      </c>
      <c r="Q192" s="22"/>
      <c r="R192" s="13"/>
      <c r="S192" s="14"/>
      <c r="T192" s="29"/>
      <c r="U192" s="25"/>
      <c r="V192" s="13"/>
      <c r="W192" s="19"/>
      <c r="X192" s="20"/>
      <c r="Y192" s="25"/>
      <c r="Z192" s="38"/>
      <c r="AA192" s="38"/>
      <c r="AB192" s="26"/>
      <c r="AC192" s="38"/>
      <c r="AD192" s="25"/>
      <c r="AE192" s="38"/>
      <c r="AF192" s="38"/>
      <c r="AG192" s="38"/>
      <c r="AH192" s="38"/>
      <c r="AI192" s="38"/>
      <c r="AJ192" s="38"/>
      <c r="AK192" s="38"/>
      <c r="AL192" s="38"/>
      <c r="AM192" s="39"/>
    </row>
    <row r="193" ht="15.75" customHeight="1">
      <c r="A193" s="30" t="s">
        <v>778</v>
      </c>
      <c r="B193" s="30" t="s">
        <v>779</v>
      </c>
      <c r="C193" s="30" t="s">
        <v>780</v>
      </c>
      <c r="D193" s="30" t="s">
        <v>781</v>
      </c>
      <c r="E193" s="25" t="s">
        <v>43</v>
      </c>
      <c r="F193" s="30" t="s">
        <v>782</v>
      </c>
      <c r="G193" s="25" t="s">
        <v>45</v>
      </c>
      <c r="H193" s="32">
        <v>14993.0</v>
      </c>
      <c r="I193" s="26" t="s">
        <v>71</v>
      </c>
      <c r="J193" s="25" t="s">
        <v>611</v>
      </c>
      <c r="K193" s="25" t="s">
        <v>49</v>
      </c>
      <c r="L193" s="25" t="s">
        <v>783</v>
      </c>
      <c r="M193" s="25" t="s">
        <v>51</v>
      </c>
      <c r="N193" s="25" t="s">
        <v>51</v>
      </c>
      <c r="O193" s="26" t="s">
        <v>613</v>
      </c>
      <c r="P193" s="21" t="s">
        <v>53</v>
      </c>
      <c r="Q193" s="22">
        <v>0.04097222222222222</v>
      </c>
      <c r="R193" s="13">
        <v>0.03680555555555556</v>
      </c>
      <c r="S193" s="15">
        <f t="shared" ref="S193:S203" si="33">Q193+R193</f>
        <v>0.07777777778</v>
      </c>
      <c r="T193" s="29">
        <v>46002.25</v>
      </c>
      <c r="U193" s="25" t="s">
        <v>55</v>
      </c>
      <c r="V193" s="13">
        <f t="shared" ref="V193:V203" si="34">Q193+R193</f>
        <v>0.07777777778</v>
      </c>
      <c r="W193" s="19" t="s">
        <v>56</v>
      </c>
      <c r="X193" s="20" t="s">
        <v>57</v>
      </c>
      <c r="Y193" s="25" t="s">
        <v>503</v>
      </c>
      <c r="Z193" s="36"/>
      <c r="AA193" s="36"/>
      <c r="AB193" s="26" t="s">
        <v>45</v>
      </c>
      <c r="AC193" s="36"/>
      <c r="AD193" s="25" t="s">
        <v>614</v>
      </c>
      <c r="AE193" s="36"/>
      <c r="AF193" s="36"/>
      <c r="AG193" s="36"/>
      <c r="AH193" s="36"/>
      <c r="AI193" s="36"/>
      <c r="AJ193" s="36"/>
      <c r="AK193" s="36"/>
      <c r="AL193" s="36"/>
      <c r="AM193" s="37"/>
    </row>
    <row r="194" ht="15.75" customHeight="1">
      <c r="A194" s="30" t="s">
        <v>784</v>
      </c>
      <c r="C194" s="30" t="s">
        <v>785</v>
      </c>
      <c r="D194" s="30" t="s">
        <v>786</v>
      </c>
      <c r="E194" s="25" t="s">
        <v>43</v>
      </c>
      <c r="F194" s="30" t="s">
        <v>787</v>
      </c>
      <c r="G194" s="25" t="s">
        <v>45</v>
      </c>
      <c r="H194" s="35">
        <v>13244.0</v>
      </c>
      <c r="I194" s="26" t="s">
        <v>71</v>
      </c>
      <c r="J194" s="25" t="s">
        <v>611</v>
      </c>
      <c r="K194" s="25" t="s">
        <v>49</v>
      </c>
      <c r="L194" s="25" t="s">
        <v>788</v>
      </c>
      <c r="M194" s="25" t="s">
        <v>51</v>
      </c>
      <c r="N194" s="25" t="s">
        <v>51</v>
      </c>
      <c r="O194" s="26" t="s">
        <v>613</v>
      </c>
      <c r="P194" s="21" t="s">
        <v>53</v>
      </c>
      <c r="Q194" s="22">
        <v>0.04097222222222222</v>
      </c>
      <c r="R194" s="13">
        <v>0.03680555555555556</v>
      </c>
      <c r="S194" s="15">
        <f t="shared" si="33"/>
        <v>0.07777777778</v>
      </c>
      <c r="T194" s="29">
        <v>46002.25</v>
      </c>
      <c r="U194" s="25" t="s">
        <v>55</v>
      </c>
      <c r="V194" s="13">
        <f t="shared" si="34"/>
        <v>0.07777777778</v>
      </c>
      <c r="W194" s="19" t="s">
        <v>56</v>
      </c>
      <c r="X194" s="20" t="s">
        <v>57</v>
      </c>
      <c r="Y194" s="25" t="s">
        <v>503</v>
      </c>
      <c r="Z194" s="38"/>
      <c r="AA194" s="38"/>
      <c r="AB194" s="26" t="s">
        <v>45</v>
      </c>
      <c r="AC194" s="38"/>
      <c r="AD194" s="25" t="s">
        <v>614</v>
      </c>
      <c r="AE194" s="38"/>
      <c r="AF194" s="38"/>
      <c r="AG194" s="38"/>
      <c r="AH194" s="38"/>
      <c r="AI194" s="38"/>
      <c r="AJ194" s="38"/>
      <c r="AK194" s="38"/>
      <c r="AL194" s="38"/>
      <c r="AM194" s="39"/>
    </row>
    <row r="195" ht="15.75" customHeight="1">
      <c r="A195" s="30" t="s">
        <v>480</v>
      </c>
      <c r="C195" s="30" t="s">
        <v>789</v>
      </c>
      <c r="D195" s="30" t="s">
        <v>790</v>
      </c>
      <c r="E195" s="25" t="s">
        <v>43</v>
      </c>
      <c r="F195" s="30" t="s">
        <v>791</v>
      </c>
      <c r="G195" s="25" t="s">
        <v>45</v>
      </c>
      <c r="H195" s="41">
        <v>24593.0</v>
      </c>
      <c r="I195" s="26" t="s">
        <v>71</v>
      </c>
      <c r="J195" s="25" t="s">
        <v>611</v>
      </c>
      <c r="K195" s="25" t="s">
        <v>49</v>
      </c>
      <c r="L195" s="25" t="s">
        <v>792</v>
      </c>
      <c r="M195" s="25" t="s">
        <v>51</v>
      </c>
      <c r="N195" s="25" t="s">
        <v>51</v>
      </c>
      <c r="O195" s="26" t="s">
        <v>613</v>
      </c>
      <c r="P195" s="21" t="s">
        <v>53</v>
      </c>
      <c r="Q195" s="22">
        <v>0.04097222222222222</v>
      </c>
      <c r="R195" s="13">
        <v>0.03680555555555556</v>
      </c>
      <c r="S195" s="15">
        <f t="shared" si="33"/>
        <v>0.07777777778</v>
      </c>
      <c r="T195" s="29">
        <v>46002.25</v>
      </c>
      <c r="U195" s="25" t="s">
        <v>55</v>
      </c>
      <c r="V195" s="13">
        <f t="shared" si="34"/>
        <v>0.07777777778</v>
      </c>
      <c r="W195" s="19" t="s">
        <v>56</v>
      </c>
      <c r="X195" s="20" t="s">
        <v>57</v>
      </c>
      <c r="Y195" s="25" t="s">
        <v>503</v>
      </c>
      <c r="Z195" s="36"/>
      <c r="AA195" s="36"/>
      <c r="AB195" s="26" t="s">
        <v>45</v>
      </c>
      <c r="AC195" s="36"/>
      <c r="AD195" s="25" t="s">
        <v>614</v>
      </c>
      <c r="AE195" s="36"/>
      <c r="AF195" s="36"/>
      <c r="AG195" s="36"/>
      <c r="AH195" s="36"/>
      <c r="AI195" s="36"/>
      <c r="AJ195" s="36"/>
      <c r="AK195" s="36"/>
      <c r="AL195" s="36"/>
      <c r="AM195" s="37"/>
    </row>
    <row r="196" ht="15.75" customHeight="1">
      <c r="A196" s="30" t="s">
        <v>793</v>
      </c>
      <c r="C196" s="30" t="s">
        <v>794</v>
      </c>
      <c r="D196" s="30" t="s">
        <v>795</v>
      </c>
      <c r="E196" s="25" t="s">
        <v>43</v>
      </c>
      <c r="F196" s="30" t="s">
        <v>796</v>
      </c>
      <c r="G196" s="25" t="s">
        <v>45</v>
      </c>
      <c r="H196" s="32">
        <v>15369.0</v>
      </c>
      <c r="I196" s="26" t="s">
        <v>71</v>
      </c>
      <c r="J196" s="25" t="s">
        <v>611</v>
      </c>
      <c r="K196" s="25" t="s">
        <v>49</v>
      </c>
      <c r="L196" s="25" t="s">
        <v>797</v>
      </c>
      <c r="M196" s="25" t="s">
        <v>51</v>
      </c>
      <c r="N196" s="25" t="s">
        <v>51</v>
      </c>
      <c r="O196" s="26" t="s">
        <v>613</v>
      </c>
      <c r="P196" s="21" t="s">
        <v>53</v>
      </c>
      <c r="Q196" s="22">
        <v>0.04097222222222222</v>
      </c>
      <c r="R196" s="13">
        <v>0.03680555555555556</v>
      </c>
      <c r="S196" s="15">
        <f t="shared" si="33"/>
        <v>0.07777777778</v>
      </c>
      <c r="T196" s="29">
        <v>46002.25</v>
      </c>
      <c r="U196" s="25" t="s">
        <v>55</v>
      </c>
      <c r="V196" s="13">
        <f t="shared" si="34"/>
        <v>0.07777777778</v>
      </c>
      <c r="W196" s="19" t="s">
        <v>56</v>
      </c>
      <c r="X196" s="20" t="s">
        <v>57</v>
      </c>
      <c r="Y196" s="25" t="s">
        <v>503</v>
      </c>
      <c r="Z196" s="38"/>
      <c r="AA196" s="38"/>
      <c r="AB196" s="26" t="s">
        <v>45</v>
      </c>
      <c r="AC196" s="38"/>
      <c r="AD196" s="25" t="s">
        <v>614</v>
      </c>
      <c r="AE196" s="38"/>
      <c r="AF196" s="38"/>
      <c r="AG196" s="38"/>
      <c r="AH196" s="38"/>
      <c r="AI196" s="38"/>
      <c r="AJ196" s="38"/>
      <c r="AK196" s="38"/>
      <c r="AL196" s="38"/>
      <c r="AM196" s="39"/>
    </row>
    <row r="197" ht="15.75" customHeight="1">
      <c r="A197" s="30" t="s">
        <v>798</v>
      </c>
      <c r="C197" s="30" t="s">
        <v>799</v>
      </c>
      <c r="D197" s="30" t="s">
        <v>800</v>
      </c>
      <c r="E197" s="25" t="s">
        <v>43</v>
      </c>
      <c r="F197" s="30" t="s">
        <v>801</v>
      </c>
      <c r="G197" s="25" t="s">
        <v>45</v>
      </c>
      <c r="H197" s="32">
        <v>23783.0</v>
      </c>
      <c r="I197" s="26" t="s">
        <v>71</v>
      </c>
      <c r="J197" s="25" t="s">
        <v>611</v>
      </c>
      <c r="K197" s="25" t="s">
        <v>49</v>
      </c>
      <c r="L197" s="25" t="s">
        <v>802</v>
      </c>
      <c r="M197" s="25" t="s">
        <v>51</v>
      </c>
      <c r="N197" s="25" t="s">
        <v>51</v>
      </c>
      <c r="O197" s="26" t="s">
        <v>613</v>
      </c>
      <c r="P197" s="21" t="s">
        <v>53</v>
      </c>
      <c r="Q197" s="22">
        <v>0.04097222222222222</v>
      </c>
      <c r="R197" s="13">
        <v>0.03680555555555556</v>
      </c>
      <c r="S197" s="15">
        <f t="shared" si="33"/>
        <v>0.07777777778</v>
      </c>
      <c r="T197" s="29">
        <v>46002.25</v>
      </c>
      <c r="U197" s="25" t="s">
        <v>55</v>
      </c>
      <c r="V197" s="13">
        <f t="shared" si="34"/>
        <v>0.07777777778</v>
      </c>
      <c r="W197" s="19" t="s">
        <v>56</v>
      </c>
      <c r="X197" s="20" t="s">
        <v>57</v>
      </c>
      <c r="Y197" s="25" t="s">
        <v>503</v>
      </c>
      <c r="Z197" s="36"/>
      <c r="AA197" s="36"/>
      <c r="AB197" s="26" t="s">
        <v>45</v>
      </c>
      <c r="AC197" s="36"/>
      <c r="AD197" s="25" t="s">
        <v>614</v>
      </c>
      <c r="AE197" s="36"/>
      <c r="AF197" s="36"/>
      <c r="AG197" s="36"/>
      <c r="AH197" s="36"/>
      <c r="AI197" s="36"/>
      <c r="AJ197" s="36"/>
      <c r="AK197" s="36"/>
      <c r="AL197" s="36"/>
      <c r="AM197" s="37"/>
    </row>
    <row r="198" ht="15.75" customHeight="1">
      <c r="A198" s="30" t="s">
        <v>803</v>
      </c>
      <c r="C198" s="30" t="s">
        <v>804</v>
      </c>
      <c r="D198" s="30" t="s">
        <v>805</v>
      </c>
      <c r="E198" s="25" t="s">
        <v>43</v>
      </c>
      <c r="F198" s="30" t="s">
        <v>806</v>
      </c>
      <c r="G198" s="25" t="s">
        <v>45</v>
      </c>
      <c r="H198" s="32">
        <v>26644.0</v>
      </c>
      <c r="I198" s="26" t="s">
        <v>71</v>
      </c>
      <c r="J198" s="25" t="s">
        <v>611</v>
      </c>
      <c r="K198" s="25" t="s">
        <v>49</v>
      </c>
      <c r="L198" s="25" t="s">
        <v>807</v>
      </c>
      <c r="M198" s="25" t="s">
        <v>51</v>
      </c>
      <c r="N198" s="25" t="s">
        <v>51</v>
      </c>
      <c r="O198" s="26" t="s">
        <v>613</v>
      </c>
      <c r="P198" s="21" t="s">
        <v>53</v>
      </c>
      <c r="Q198" s="22">
        <v>0.04097222222222222</v>
      </c>
      <c r="R198" s="13">
        <v>0.03680555555555556</v>
      </c>
      <c r="S198" s="15">
        <f t="shared" si="33"/>
        <v>0.07777777778</v>
      </c>
      <c r="T198" s="29">
        <v>46002.25</v>
      </c>
      <c r="U198" s="25" t="s">
        <v>55</v>
      </c>
      <c r="V198" s="13">
        <f t="shared" si="34"/>
        <v>0.07777777778</v>
      </c>
      <c r="W198" s="19" t="s">
        <v>56</v>
      </c>
      <c r="X198" s="20" t="s">
        <v>57</v>
      </c>
      <c r="Y198" s="25" t="s">
        <v>503</v>
      </c>
      <c r="Z198" s="38"/>
      <c r="AA198" s="38"/>
      <c r="AB198" s="26" t="s">
        <v>45</v>
      </c>
      <c r="AC198" s="38"/>
      <c r="AD198" s="25" t="s">
        <v>614</v>
      </c>
      <c r="AE198" s="38"/>
      <c r="AF198" s="38"/>
      <c r="AG198" s="38"/>
      <c r="AH198" s="38"/>
      <c r="AI198" s="38"/>
      <c r="AJ198" s="38"/>
      <c r="AK198" s="38"/>
      <c r="AL198" s="38"/>
      <c r="AM198" s="39"/>
    </row>
    <row r="199" ht="15.75" customHeight="1">
      <c r="A199" s="30" t="s">
        <v>808</v>
      </c>
      <c r="C199" s="30" t="s">
        <v>809</v>
      </c>
      <c r="D199" s="30" t="s">
        <v>810</v>
      </c>
      <c r="E199" s="25" t="s">
        <v>43</v>
      </c>
      <c r="F199" s="30" t="s">
        <v>811</v>
      </c>
      <c r="G199" s="25" t="s">
        <v>45</v>
      </c>
      <c r="H199" s="32">
        <v>23738.0</v>
      </c>
      <c r="I199" s="26" t="s">
        <v>71</v>
      </c>
      <c r="J199" s="25" t="s">
        <v>611</v>
      </c>
      <c r="K199" s="25" t="s">
        <v>49</v>
      </c>
      <c r="L199" s="25" t="s">
        <v>812</v>
      </c>
      <c r="M199" s="25" t="s">
        <v>51</v>
      </c>
      <c r="N199" s="25" t="s">
        <v>51</v>
      </c>
      <c r="O199" s="26" t="s">
        <v>613</v>
      </c>
      <c r="P199" s="21" t="s">
        <v>53</v>
      </c>
      <c r="Q199" s="22">
        <v>0.04097222222222222</v>
      </c>
      <c r="R199" s="13">
        <v>0.03680555555555556</v>
      </c>
      <c r="S199" s="15">
        <f t="shared" si="33"/>
        <v>0.07777777778</v>
      </c>
      <c r="T199" s="29">
        <v>46002.25</v>
      </c>
      <c r="U199" s="25" t="s">
        <v>55</v>
      </c>
      <c r="V199" s="13">
        <f t="shared" si="34"/>
        <v>0.07777777778</v>
      </c>
      <c r="W199" s="19" t="s">
        <v>56</v>
      </c>
      <c r="X199" s="20" t="s">
        <v>57</v>
      </c>
      <c r="Y199" s="25" t="s">
        <v>503</v>
      </c>
      <c r="Z199" s="36"/>
      <c r="AA199" s="36"/>
      <c r="AB199" s="26" t="s">
        <v>45</v>
      </c>
      <c r="AC199" s="36"/>
      <c r="AD199" s="25" t="s">
        <v>614</v>
      </c>
      <c r="AE199" s="36"/>
      <c r="AF199" s="36"/>
      <c r="AG199" s="36"/>
      <c r="AH199" s="36"/>
      <c r="AI199" s="36"/>
      <c r="AJ199" s="36"/>
      <c r="AK199" s="36"/>
      <c r="AL199" s="36"/>
      <c r="AM199" s="37"/>
    </row>
    <row r="200" ht="15.75" customHeight="1">
      <c r="A200" s="30" t="s">
        <v>813</v>
      </c>
      <c r="C200" s="30" t="s">
        <v>814</v>
      </c>
      <c r="D200" s="30" t="s">
        <v>815</v>
      </c>
      <c r="E200" s="25" t="s">
        <v>43</v>
      </c>
      <c r="F200" s="30" t="s">
        <v>816</v>
      </c>
      <c r="G200" s="25" t="s">
        <v>45</v>
      </c>
      <c r="H200" s="32">
        <v>20905.0</v>
      </c>
      <c r="I200" s="26" t="s">
        <v>71</v>
      </c>
      <c r="J200" s="25" t="s">
        <v>611</v>
      </c>
      <c r="K200" s="25" t="s">
        <v>49</v>
      </c>
      <c r="L200" s="25" t="s">
        <v>817</v>
      </c>
      <c r="M200" s="25" t="s">
        <v>51</v>
      </c>
      <c r="N200" s="25" t="s">
        <v>51</v>
      </c>
      <c r="O200" s="26" t="s">
        <v>613</v>
      </c>
      <c r="P200" s="21" t="s">
        <v>53</v>
      </c>
      <c r="Q200" s="22">
        <v>0.04097222222222222</v>
      </c>
      <c r="R200" s="13">
        <v>0.03680555555555556</v>
      </c>
      <c r="S200" s="15">
        <f t="shared" si="33"/>
        <v>0.07777777778</v>
      </c>
      <c r="T200" s="29">
        <v>46002.25</v>
      </c>
      <c r="U200" s="25" t="s">
        <v>55</v>
      </c>
      <c r="V200" s="13">
        <f t="shared" si="34"/>
        <v>0.07777777778</v>
      </c>
      <c r="W200" s="19" t="s">
        <v>56</v>
      </c>
      <c r="X200" s="20" t="s">
        <v>57</v>
      </c>
      <c r="Y200" s="25" t="s">
        <v>503</v>
      </c>
      <c r="Z200" s="38"/>
      <c r="AA200" s="38"/>
      <c r="AB200" s="26" t="s">
        <v>45</v>
      </c>
      <c r="AC200" s="38"/>
      <c r="AD200" s="25" t="s">
        <v>614</v>
      </c>
      <c r="AE200" s="38"/>
      <c r="AF200" s="38"/>
      <c r="AG200" s="38"/>
      <c r="AH200" s="38"/>
      <c r="AI200" s="38"/>
      <c r="AJ200" s="38"/>
      <c r="AK200" s="38"/>
      <c r="AL200" s="38"/>
      <c r="AM200" s="39"/>
    </row>
    <row r="201" ht="15.75" customHeight="1">
      <c r="A201" s="30" t="s">
        <v>818</v>
      </c>
      <c r="C201" s="30" t="s">
        <v>819</v>
      </c>
      <c r="D201" s="30" t="s">
        <v>820</v>
      </c>
      <c r="E201" s="25" t="s">
        <v>43</v>
      </c>
      <c r="F201" s="30" t="s">
        <v>821</v>
      </c>
      <c r="G201" s="25" t="s">
        <v>45</v>
      </c>
      <c r="H201" s="32">
        <v>21458.0</v>
      </c>
      <c r="I201" s="26" t="s">
        <v>71</v>
      </c>
      <c r="J201" s="25" t="s">
        <v>611</v>
      </c>
      <c r="K201" s="25" t="s">
        <v>49</v>
      </c>
      <c r="L201" s="25" t="s">
        <v>822</v>
      </c>
      <c r="M201" s="25" t="s">
        <v>51</v>
      </c>
      <c r="N201" s="25" t="s">
        <v>51</v>
      </c>
      <c r="O201" s="26" t="s">
        <v>613</v>
      </c>
      <c r="P201" s="21" t="s">
        <v>53</v>
      </c>
      <c r="Q201" s="22">
        <v>0.04097222222222222</v>
      </c>
      <c r="R201" s="13">
        <v>0.03680555555555556</v>
      </c>
      <c r="S201" s="15">
        <f t="shared" si="33"/>
        <v>0.07777777778</v>
      </c>
      <c r="T201" s="29">
        <v>46002.25</v>
      </c>
      <c r="U201" s="25" t="s">
        <v>55</v>
      </c>
      <c r="V201" s="13">
        <f t="shared" si="34"/>
        <v>0.07777777778</v>
      </c>
      <c r="W201" s="19" t="s">
        <v>56</v>
      </c>
      <c r="X201" s="20" t="s">
        <v>57</v>
      </c>
      <c r="Y201" s="25" t="s">
        <v>503</v>
      </c>
      <c r="Z201" s="36"/>
      <c r="AA201" s="36"/>
      <c r="AB201" s="26" t="s">
        <v>45</v>
      </c>
      <c r="AC201" s="36"/>
      <c r="AD201" s="25" t="s">
        <v>614</v>
      </c>
      <c r="AE201" s="36"/>
      <c r="AF201" s="36"/>
      <c r="AG201" s="36"/>
      <c r="AH201" s="36"/>
      <c r="AI201" s="36"/>
      <c r="AJ201" s="36"/>
      <c r="AK201" s="36"/>
      <c r="AL201" s="36"/>
      <c r="AM201" s="37"/>
    </row>
    <row r="202" ht="15.75" customHeight="1">
      <c r="A202" s="30" t="s">
        <v>192</v>
      </c>
      <c r="C202" s="30" t="s">
        <v>823</v>
      </c>
      <c r="D202" s="30" t="s">
        <v>824</v>
      </c>
      <c r="E202" s="25" t="s">
        <v>43</v>
      </c>
      <c r="F202" s="30" t="s">
        <v>825</v>
      </c>
      <c r="G202" s="25" t="s">
        <v>45</v>
      </c>
      <c r="H202" s="32">
        <v>22230.0</v>
      </c>
      <c r="I202" s="26" t="s">
        <v>71</v>
      </c>
      <c r="J202" s="25" t="s">
        <v>611</v>
      </c>
      <c r="K202" s="25" t="s">
        <v>49</v>
      </c>
      <c r="L202" s="25" t="s">
        <v>826</v>
      </c>
      <c r="M202" s="25" t="s">
        <v>51</v>
      </c>
      <c r="N202" s="25" t="s">
        <v>51</v>
      </c>
      <c r="O202" s="26" t="s">
        <v>613</v>
      </c>
      <c r="P202" s="21" t="s">
        <v>53</v>
      </c>
      <c r="Q202" s="22">
        <v>0.04097222222222222</v>
      </c>
      <c r="R202" s="13">
        <v>0.03680555555555556</v>
      </c>
      <c r="S202" s="15">
        <f t="shared" si="33"/>
        <v>0.07777777778</v>
      </c>
      <c r="T202" s="29">
        <v>46002.25</v>
      </c>
      <c r="U202" s="25" t="s">
        <v>55</v>
      </c>
      <c r="V202" s="13">
        <f t="shared" si="34"/>
        <v>0.07777777778</v>
      </c>
      <c r="W202" s="19" t="s">
        <v>56</v>
      </c>
      <c r="X202" s="20" t="s">
        <v>57</v>
      </c>
      <c r="Y202" s="25" t="s">
        <v>503</v>
      </c>
      <c r="Z202" s="38"/>
      <c r="AA202" s="38"/>
      <c r="AB202" s="26" t="s">
        <v>45</v>
      </c>
      <c r="AC202" s="38"/>
      <c r="AD202" s="25" t="s">
        <v>614</v>
      </c>
      <c r="AE202" s="38"/>
      <c r="AF202" s="38"/>
      <c r="AG202" s="38"/>
      <c r="AH202" s="38"/>
      <c r="AI202" s="38"/>
      <c r="AJ202" s="38"/>
      <c r="AK202" s="38"/>
      <c r="AL202" s="38"/>
      <c r="AM202" s="39"/>
    </row>
    <row r="203" ht="15.75" customHeight="1">
      <c r="A203" s="30" t="s">
        <v>827</v>
      </c>
      <c r="B203" s="30" t="s">
        <v>828</v>
      </c>
      <c r="C203" s="30" t="s">
        <v>829</v>
      </c>
      <c r="D203" s="30" t="s">
        <v>830</v>
      </c>
      <c r="E203" s="25" t="s">
        <v>43</v>
      </c>
      <c r="F203" s="30" t="s">
        <v>831</v>
      </c>
      <c r="G203" s="25" t="s">
        <v>45</v>
      </c>
      <c r="H203" s="32">
        <v>17249.0</v>
      </c>
      <c r="I203" s="26" t="s">
        <v>71</v>
      </c>
      <c r="J203" s="25" t="s">
        <v>611</v>
      </c>
      <c r="K203" s="25" t="s">
        <v>49</v>
      </c>
      <c r="L203" s="25" t="s">
        <v>832</v>
      </c>
      <c r="M203" s="25" t="s">
        <v>51</v>
      </c>
      <c r="N203" s="25" t="s">
        <v>51</v>
      </c>
      <c r="O203" s="26" t="s">
        <v>613</v>
      </c>
      <c r="P203" s="21" t="s">
        <v>53</v>
      </c>
      <c r="Q203" s="22">
        <v>0.04097222222222222</v>
      </c>
      <c r="R203" s="13">
        <v>0.03680555555555556</v>
      </c>
      <c r="S203" s="15">
        <f t="shared" si="33"/>
        <v>0.07777777778</v>
      </c>
      <c r="T203" s="29">
        <v>46002.25</v>
      </c>
      <c r="U203" s="25" t="s">
        <v>55</v>
      </c>
      <c r="V203" s="13">
        <f t="shared" si="34"/>
        <v>0.07777777778</v>
      </c>
      <c r="W203" s="19" t="s">
        <v>56</v>
      </c>
      <c r="X203" s="20" t="s">
        <v>57</v>
      </c>
      <c r="Y203" s="25" t="s">
        <v>503</v>
      </c>
      <c r="Z203" s="36"/>
      <c r="AA203" s="36"/>
      <c r="AB203" s="26" t="s">
        <v>45</v>
      </c>
      <c r="AC203" s="36"/>
      <c r="AD203" s="25" t="s">
        <v>614</v>
      </c>
      <c r="AE203" s="36"/>
      <c r="AF203" s="36"/>
      <c r="AG203" s="36"/>
      <c r="AH203" s="36"/>
      <c r="AI203" s="36"/>
      <c r="AJ203" s="36"/>
      <c r="AK203" s="36"/>
      <c r="AL203" s="36"/>
      <c r="AM203" s="37"/>
    </row>
    <row r="204" ht="15.75" customHeight="1">
      <c r="A204" s="42"/>
      <c r="B204" s="42"/>
      <c r="C204" s="42"/>
      <c r="D204" s="38"/>
      <c r="E204" s="25"/>
      <c r="F204" s="42"/>
      <c r="G204" s="25"/>
      <c r="H204" s="42"/>
      <c r="I204" s="26"/>
      <c r="J204" s="25"/>
      <c r="K204" s="25"/>
      <c r="L204" s="25"/>
      <c r="M204" s="25"/>
      <c r="N204" s="25"/>
      <c r="O204" s="26"/>
      <c r="P204" s="21" t="s">
        <v>53</v>
      </c>
      <c r="Q204" s="22"/>
      <c r="R204" s="13"/>
      <c r="S204" s="14"/>
      <c r="T204" s="29"/>
      <c r="U204" s="25"/>
      <c r="V204" s="13"/>
      <c r="W204" s="19"/>
      <c r="X204" s="20"/>
      <c r="Y204" s="25"/>
      <c r="Z204" s="38"/>
      <c r="AA204" s="38"/>
      <c r="AB204" s="26"/>
      <c r="AC204" s="38"/>
      <c r="AD204" s="25"/>
      <c r="AE204" s="38"/>
      <c r="AF204" s="38"/>
      <c r="AG204" s="38"/>
      <c r="AH204" s="38"/>
      <c r="AI204" s="38"/>
      <c r="AJ204" s="38"/>
      <c r="AK204" s="38"/>
      <c r="AL204" s="38"/>
      <c r="AM204" s="39"/>
    </row>
    <row r="205" ht="15.75" customHeight="1">
      <c r="A205" s="30" t="s">
        <v>833</v>
      </c>
      <c r="C205" s="30" t="s">
        <v>834</v>
      </c>
      <c r="D205" s="30" t="s">
        <v>835</v>
      </c>
      <c r="E205" s="25" t="s">
        <v>43</v>
      </c>
      <c r="F205" s="30" t="s">
        <v>836</v>
      </c>
      <c r="G205" s="25" t="s">
        <v>45</v>
      </c>
      <c r="H205" s="35">
        <v>33849.0</v>
      </c>
      <c r="I205" s="26" t="s">
        <v>71</v>
      </c>
      <c r="J205" s="25" t="s">
        <v>611</v>
      </c>
      <c r="K205" s="25" t="s">
        <v>49</v>
      </c>
      <c r="L205" s="25" t="s">
        <v>837</v>
      </c>
      <c r="M205" s="25" t="s">
        <v>51</v>
      </c>
      <c r="N205" s="25" t="s">
        <v>51</v>
      </c>
      <c r="O205" s="26" t="s">
        <v>613</v>
      </c>
      <c r="P205" s="21" t="s">
        <v>53</v>
      </c>
      <c r="Q205" s="22">
        <v>0.04097222222222222</v>
      </c>
      <c r="R205" s="13">
        <v>0.03680555555555556</v>
      </c>
      <c r="S205" s="15">
        <f t="shared" ref="S205:S218" si="35">Q205+R205</f>
        <v>0.07777777778</v>
      </c>
      <c r="T205" s="29">
        <v>46002.25</v>
      </c>
      <c r="U205" s="25" t="s">
        <v>55</v>
      </c>
      <c r="V205" s="13">
        <f t="shared" ref="V205:V218" si="36">Q205+R205</f>
        <v>0.07777777778</v>
      </c>
      <c r="W205" s="19" t="s">
        <v>56</v>
      </c>
      <c r="X205" s="20" t="s">
        <v>57</v>
      </c>
      <c r="Y205" s="25" t="s">
        <v>503</v>
      </c>
      <c r="Z205" s="36"/>
      <c r="AA205" s="36"/>
      <c r="AB205" s="26" t="s">
        <v>45</v>
      </c>
      <c r="AC205" s="36"/>
      <c r="AD205" s="25" t="s">
        <v>614</v>
      </c>
      <c r="AE205" s="36"/>
      <c r="AF205" s="36"/>
      <c r="AG205" s="36"/>
      <c r="AH205" s="36"/>
      <c r="AI205" s="36"/>
      <c r="AJ205" s="36"/>
      <c r="AK205" s="36"/>
      <c r="AL205" s="36"/>
      <c r="AM205" s="37"/>
    </row>
    <row r="206" ht="15.75" customHeight="1">
      <c r="A206" s="30" t="s">
        <v>838</v>
      </c>
      <c r="B206" s="30" t="s">
        <v>839</v>
      </c>
      <c r="C206" s="30" t="s">
        <v>769</v>
      </c>
      <c r="D206" s="30" t="s">
        <v>840</v>
      </c>
      <c r="E206" s="25" t="s">
        <v>43</v>
      </c>
      <c r="F206" s="30" t="s">
        <v>841</v>
      </c>
      <c r="G206" s="25" t="s">
        <v>45</v>
      </c>
      <c r="H206" s="32">
        <v>20259.0</v>
      </c>
      <c r="I206" s="26" t="s">
        <v>71</v>
      </c>
      <c r="J206" s="25" t="s">
        <v>611</v>
      </c>
      <c r="K206" s="25" t="s">
        <v>49</v>
      </c>
      <c r="L206" s="25" t="s">
        <v>842</v>
      </c>
      <c r="M206" s="25" t="s">
        <v>51</v>
      </c>
      <c r="N206" s="25" t="s">
        <v>51</v>
      </c>
      <c r="O206" s="26" t="s">
        <v>613</v>
      </c>
      <c r="P206" s="21" t="s">
        <v>53</v>
      </c>
      <c r="Q206" s="22">
        <v>0.04097222222222222</v>
      </c>
      <c r="R206" s="13">
        <v>0.03680555555555556</v>
      </c>
      <c r="S206" s="15">
        <f t="shared" si="35"/>
        <v>0.07777777778</v>
      </c>
      <c r="T206" s="29">
        <v>46002.25</v>
      </c>
      <c r="U206" s="25" t="s">
        <v>55</v>
      </c>
      <c r="V206" s="13">
        <f t="shared" si="36"/>
        <v>0.07777777778</v>
      </c>
      <c r="W206" s="19" t="s">
        <v>56</v>
      </c>
      <c r="X206" s="20" t="s">
        <v>57</v>
      </c>
      <c r="Y206" s="25" t="s">
        <v>503</v>
      </c>
      <c r="Z206" s="38"/>
      <c r="AA206" s="38"/>
      <c r="AB206" s="26" t="s">
        <v>45</v>
      </c>
      <c r="AC206" s="38"/>
      <c r="AD206" s="25" t="s">
        <v>614</v>
      </c>
      <c r="AE206" s="38"/>
      <c r="AF206" s="38"/>
      <c r="AG206" s="38"/>
      <c r="AH206" s="38"/>
      <c r="AI206" s="38"/>
      <c r="AJ206" s="38"/>
      <c r="AK206" s="38"/>
      <c r="AL206" s="38"/>
      <c r="AM206" s="39"/>
    </row>
    <row r="207" ht="15.75" customHeight="1">
      <c r="A207" s="30" t="s">
        <v>843</v>
      </c>
      <c r="C207" s="30" t="s">
        <v>720</v>
      </c>
      <c r="D207" s="30" t="s">
        <v>844</v>
      </c>
      <c r="E207" s="25" t="s">
        <v>43</v>
      </c>
      <c r="F207" s="30" t="s">
        <v>845</v>
      </c>
      <c r="G207" s="25" t="s">
        <v>45</v>
      </c>
      <c r="H207" s="32">
        <v>22884.0</v>
      </c>
      <c r="I207" s="26" t="s">
        <v>71</v>
      </c>
      <c r="J207" s="25" t="s">
        <v>611</v>
      </c>
      <c r="K207" s="25" t="s">
        <v>49</v>
      </c>
      <c r="L207" s="25" t="s">
        <v>846</v>
      </c>
      <c r="M207" s="25" t="s">
        <v>51</v>
      </c>
      <c r="N207" s="25" t="s">
        <v>51</v>
      </c>
      <c r="O207" s="26" t="s">
        <v>613</v>
      </c>
      <c r="P207" s="21" t="s">
        <v>53</v>
      </c>
      <c r="Q207" s="22">
        <v>0.04097222222222222</v>
      </c>
      <c r="R207" s="13">
        <v>0.03680555555555556</v>
      </c>
      <c r="S207" s="15">
        <f t="shared" si="35"/>
        <v>0.07777777778</v>
      </c>
      <c r="T207" s="29">
        <v>46002.25</v>
      </c>
      <c r="U207" s="25" t="s">
        <v>55</v>
      </c>
      <c r="V207" s="13">
        <f t="shared" si="36"/>
        <v>0.07777777778</v>
      </c>
      <c r="W207" s="19" t="s">
        <v>56</v>
      </c>
      <c r="X207" s="20" t="s">
        <v>57</v>
      </c>
      <c r="Y207" s="25" t="s">
        <v>503</v>
      </c>
      <c r="Z207" s="36"/>
      <c r="AA207" s="36"/>
      <c r="AB207" s="26" t="s">
        <v>45</v>
      </c>
      <c r="AC207" s="36"/>
      <c r="AD207" s="25" t="s">
        <v>614</v>
      </c>
      <c r="AE207" s="36"/>
      <c r="AF207" s="36"/>
      <c r="AG207" s="36"/>
      <c r="AH207" s="36"/>
      <c r="AI207" s="36"/>
      <c r="AJ207" s="36"/>
      <c r="AK207" s="36"/>
      <c r="AL207" s="36"/>
      <c r="AM207" s="37"/>
    </row>
    <row r="208" ht="15.75" customHeight="1">
      <c r="A208" s="30" t="s">
        <v>847</v>
      </c>
      <c r="B208" s="30" t="s">
        <v>848</v>
      </c>
      <c r="C208" s="30" t="s">
        <v>849</v>
      </c>
      <c r="D208" s="30" t="s">
        <v>850</v>
      </c>
      <c r="E208" s="25" t="s">
        <v>43</v>
      </c>
      <c r="F208" s="30" t="s">
        <v>851</v>
      </c>
      <c r="G208" s="25" t="s">
        <v>45</v>
      </c>
      <c r="H208" s="35">
        <v>23230.0</v>
      </c>
      <c r="I208" s="26" t="s">
        <v>71</v>
      </c>
      <c r="J208" s="25" t="s">
        <v>611</v>
      </c>
      <c r="K208" s="25" t="s">
        <v>49</v>
      </c>
      <c r="L208" s="25" t="s">
        <v>852</v>
      </c>
      <c r="M208" s="25" t="s">
        <v>51</v>
      </c>
      <c r="N208" s="25" t="s">
        <v>51</v>
      </c>
      <c r="O208" s="26" t="s">
        <v>613</v>
      </c>
      <c r="P208" s="21" t="s">
        <v>53</v>
      </c>
      <c r="Q208" s="22">
        <v>0.04097222222222222</v>
      </c>
      <c r="R208" s="13">
        <v>0.03680555555555556</v>
      </c>
      <c r="S208" s="15">
        <f t="shared" si="35"/>
        <v>0.07777777778</v>
      </c>
      <c r="T208" s="29">
        <v>46002.25</v>
      </c>
      <c r="U208" s="25" t="s">
        <v>55</v>
      </c>
      <c r="V208" s="13">
        <f t="shared" si="36"/>
        <v>0.07777777778</v>
      </c>
      <c r="W208" s="19" t="s">
        <v>56</v>
      </c>
      <c r="X208" s="20" t="s">
        <v>57</v>
      </c>
      <c r="Y208" s="25" t="s">
        <v>503</v>
      </c>
      <c r="Z208" s="38"/>
      <c r="AA208" s="38"/>
      <c r="AB208" s="26" t="s">
        <v>45</v>
      </c>
      <c r="AC208" s="38"/>
      <c r="AD208" s="25" t="s">
        <v>614</v>
      </c>
      <c r="AE208" s="38"/>
      <c r="AF208" s="38"/>
      <c r="AG208" s="38"/>
      <c r="AH208" s="38"/>
      <c r="AI208" s="38"/>
      <c r="AJ208" s="38"/>
      <c r="AK208" s="38"/>
      <c r="AL208" s="38"/>
      <c r="AM208" s="39"/>
    </row>
    <row r="209" ht="15.75" customHeight="1">
      <c r="A209" s="30" t="s">
        <v>853</v>
      </c>
      <c r="B209" s="30" t="s">
        <v>854</v>
      </c>
      <c r="C209" s="30" t="s">
        <v>855</v>
      </c>
      <c r="D209" s="30" t="s">
        <v>856</v>
      </c>
      <c r="E209" s="25" t="s">
        <v>43</v>
      </c>
      <c r="F209" s="30" t="s">
        <v>857</v>
      </c>
      <c r="G209" s="25" t="s">
        <v>45</v>
      </c>
      <c r="H209" s="32">
        <v>17028.0</v>
      </c>
      <c r="I209" s="26" t="s">
        <v>71</v>
      </c>
      <c r="J209" s="25" t="s">
        <v>611</v>
      </c>
      <c r="K209" s="25" t="s">
        <v>49</v>
      </c>
      <c r="L209" s="25" t="s">
        <v>858</v>
      </c>
      <c r="M209" s="25" t="s">
        <v>51</v>
      </c>
      <c r="N209" s="25" t="s">
        <v>51</v>
      </c>
      <c r="O209" s="26" t="s">
        <v>613</v>
      </c>
      <c r="P209" s="21" t="s">
        <v>53</v>
      </c>
      <c r="Q209" s="22">
        <v>0.04097222222222222</v>
      </c>
      <c r="R209" s="13">
        <v>0.03680555555555556</v>
      </c>
      <c r="S209" s="15">
        <f t="shared" si="35"/>
        <v>0.07777777778</v>
      </c>
      <c r="T209" s="29">
        <v>46002.25</v>
      </c>
      <c r="U209" s="25" t="s">
        <v>55</v>
      </c>
      <c r="V209" s="13">
        <f t="shared" si="36"/>
        <v>0.07777777778</v>
      </c>
      <c r="W209" s="19" t="s">
        <v>56</v>
      </c>
      <c r="X209" s="20" t="s">
        <v>57</v>
      </c>
      <c r="Y209" s="25" t="s">
        <v>503</v>
      </c>
      <c r="Z209" s="36"/>
      <c r="AA209" s="36"/>
      <c r="AB209" s="26" t="s">
        <v>45</v>
      </c>
      <c r="AC209" s="36"/>
      <c r="AD209" s="25" t="s">
        <v>614</v>
      </c>
      <c r="AE209" s="36"/>
      <c r="AF209" s="36"/>
      <c r="AG209" s="36"/>
      <c r="AH209" s="36"/>
      <c r="AI209" s="36"/>
      <c r="AJ209" s="36"/>
      <c r="AK209" s="36"/>
      <c r="AL209" s="36"/>
      <c r="AM209" s="37"/>
    </row>
    <row r="210" ht="15.75" customHeight="1">
      <c r="A210" s="30" t="s">
        <v>859</v>
      </c>
      <c r="C210" s="30" t="s">
        <v>720</v>
      </c>
      <c r="D210" s="30" t="s">
        <v>860</v>
      </c>
      <c r="E210" s="25" t="s">
        <v>43</v>
      </c>
      <c r="F210" s="30" t="s">
        <v>861</v>
      </c>
      <c r="G210" s="25" t="s">
        <v>45</v>
      </c>
      <c r="H210" s="35">
        <v>45932.0</v>
      </c>
      <c r="I210" s="26" t="s">
        <v>71</v>
      </c>
      <c r="J210" s="25" t="s">
        <v>611</v>
      </c>
      <c r="K210" s="25" t="s">
        <v>49</v>
      </c>
      <c r="L210" s="25" t="s">
        <v>862</v>
      </c>
      <c r="M210" s="25" t="s">
        <v>51</v>
      </c>
      <c r="N210" s="25" t="s">
        <v>51</v>
      </c>
      <c r="O210" s="26" t="s">
        <v>613</v>
      </c>
      <c r="P210" s="21" t="s">
        <v>53</v>
      </c>
      <c r="Q210" s="22">
        <v>0.04097222222222222</v>
      </c>
      <c r="R210" s="13">
        <v>0.03680555555555556</v>
      </c>
      <c r="S210" s="15">
        <f t="shared" si="35"/>
        <v>0.07777777778</v>
      </c>
      <c r="T210" s="29">
        <v>46002.25</v>
      </c>
      <c r="U210" s="25" t="s">
        <v>55</v>
      </c>
      <c r="V210" s="13">
        <f t="shared" si="36"/>
        <v>0.07777777778</v>
      </c>
      <c r="W210" s="19" t="s">
        <v>56</v>
      </c>
      <c r="X210" s="20" t="s">
        <v>57</v>
      </c>
      <c r="Y210" s="25" t="s">
        <v>503</v>
      </c>
      <c r="Z210" s="38"/>
      <c r="AA210" s="38"/>
      <c r="AB210" s="26" t="s">
        <v>45</v>
      </c>
      <c r="AC210" s="38"/>
      <c r="AD210" s="25" t="s">
        <v>614</v>
      </c>
      <c r="AE210" s="38"/>
      <c r="AF210" s="38"/>
      <c r="AG210" s="38"/>
      <c r="AH210" s="38"/>
      <c r="AI210" s="38"/>
      <c r="AJ210" s="38"/>
      <c r="AK210" s="38"/>
      <c r="AL210" s="38"/>
      <c r="AM210" s="39"/>
    </row>
    <row r="211" ht="15.75" customHeight="1">
      <c r="A211" s="30" t="s">
        <v>863</v>
      </c>
      <c r="B211" s="30" t="s">
        <v>864</v>
      </c>
      <c r="C211" s="30" t="s">
        <v>711</v>
      </c>
      <c r="D211" s="30" t="s">
        <v>865</v>
      </c>
      <c r="E211" s="25" t="s">
        <v>43</v>
      </c>
      <c r="F211" s="30" t="s">
        <v>866</v>
      </c>
      <c r="G211" s="25" t="s">
        <v>45</v>
      </c>
      <c r="H211" s="32">
        <v>24544.0</v>
      </c>
      <c r="I211" s="26" t="s">
        <v>71</v>
      </c>
      <c r="J211" s="25" t="s">
        <v>611</v>
      </c>
      <c r="K211" s="25" t="s">
        <v>49</v>
      </c>
      <c r="L211" s="25" t="s">
        <v>867</v>
      </c>
      <c r="M211" s="25" t="s">
        <v>51</v>
      </c>
      <c r="N211" s="25" t="s">
        <v>51</v>
      </c>
      <c r="O211" s="26" t="s">
        <v>613</v>
      </c>
      <c r="P211" s="21" t="s">
        <v>53</v>
      </c>
      <c r="Q211" s="22">
        <v>0.04097222222222222</v>
      </c>
      <c r="R211" s="13">
        <v>0.03680555555555556</v>
      </c>
      <c r="S211" s="15">
        <f t="shared" si="35"/>
        <v>0.07777777778</v>
      </c>
      <c r="T211" s="29">
        <v>46002.25</v>
      </c>
      <c r="U211" s="25" t="s">
        <v>55</v>
      </c>
      <c r="V211" s="13">
        <f t="shared" si="36"/>
        <v>0.07777777778</v>
      </c>
      <c r="W211" s="19" t="s">
        <v>56</v>
      </c>
      <c r="X211" s="20" t="s">
        <v>57</v>
      </c>
      <c r="Y211" s="25" t="s">
        <v>503</v>
      </c>
      <c r="Z211" s="36"/>
      <c r="AA211" s="36"/>
      <c r="AB211" s="26" t="s">
        <v>45</v>
      </c>
      <c r="AC211" s="36"/>
      <c r="AD211" s="25" t="s">
        <v>614</v>
      </c>
      <c r="AE211" s="36"/>
      <c r="AF211" s="36"/>
      <c r="AG211" s="36"/>
      <c r="AH211" s="36"/>
      <c r="AI211" s="36"/>
      <c r="AJ211" s="36"/>
      <c r="AK211" s="36"/>
      <c r="AL211" s="36"/>
      <c r="AM211" s="37"/>
    </row>
    <row r="212" ht="15.75" customHeight="1">
      <c r="A212" s="30" t="s">
        <v>868</v>
      </c>
      <c r="B212" s="30" t="s">
        <v>869</v>
      </c>
      <c r="C212" s="30" t="s">
        <v>870</v>
      </c>
      <c r="D212" s="30" t="s">
        <v>871</v>
      </c>
      <c r="E212" s="25" t="s">
        <v>43</v>
      </c>
      <c r="F212" s="30" t="s">
        <v>872</v>
      </c>
      <c r="G212" s="25" t="s">
        <v>45</v>
      </c>
      <c r="H212" s="35">
        <v>45932.0</v>
      </c>
      <c r="I212" s="26" t="s">
        <v>71</v>
      </c>
      <c r="J212" s="25" t="s">
        <v>611</v>
      </c>
      <c r="K212" s="25" t="s">
        <v>49</v>
      </c>
      <c r="L212" s="25" t="s">
        <v>873</v>
      </c>
      <c r="M212" s="25" t="s">
        <v>51</v>
      </c>
      <c r="N212" s="25" t="s">
        <v>51</v>
      </c>
      <c r="O212" s="26" t="s">
        <v>613</v>
      </c>
      <c r="P212" s="21" t="s">
        <v>53</v>
      </c>
      <c r="Q212" s="22">
        <v>0.04097222222222222</v>
      </c>
      <c r="R212" s="13">
        <v>0.03680555555555556</v>
      </c>
      <c r="S212" s="15">
        <f t="shared" si="35"/>
        <v>0.07777777778</v>
      </c>
      <c r="T212" s="29">
        <v>46002.25</v>
      </c>
      <c r="U212" s="25" t="s">
        <v>55</v>
      </c>
      <c r="V212" s="13">
        <f t="shared" si="36"/>
        <v>0.07777777778</v>
      </c>
      <c r="W212" s="19" t="s">
        <v>56</v>
      </c>
      <c r="X212" s="20" t="s">
        <v>57</v>
      </c>
      <c r="Y212" s="25" t="s">
        <v>503</v>
      </c>
      <c r="Z212" s="38"/>
      <c r="AA212" s="38"/>
      <c r="AB212" s="26" t="s">
        <v>45</v>
      </c>
      <c r="AC212" s="38"/>
      <c r="AD212" s="25" t="s">
        <v>614</v>
      </c>
      <c r="AE212" s="38"/>
      <c r="AF212" s="38"/>
      <c r="AG212" s="38"/>
      <c r="AH212" s="38"/>
      <c r="AI212" s="38"/>
      <c r="AJ212" s="38"/>
      <c r="AK212" s="38"/>
      <c r="AL212" s="38"/>
      <c r="AM212" s="39"/>
    </row>
    <row r="213" ht="15.75" customHeight="1">
      <c r="A213" s="30" t="s">
        <v>874</v>
      </c>
      <c r="C213" s="30" t="s">
        <v>875</v>
      </c>
      <c r="D213" s="30" t="s">
        <v>876</v>
      </c>
      <c r="E213" s="25" t="s">
        <v>43</v>
      </c>
      <c r="F213" s="30" t="s">
        <v>877</v>
      </c>
      <c r="G213" s="25" t="s">
        <v>45</v>
      </c>
      <c r="H213" s="32">
        <v>23934.0</v>
      </c>
      <c r="I213" s="26" t="s">
        <v>71</v>
      </c>
      <c r="J213" s="25" t="s">
        <v>611</v>
      </c>
      <c r="K213" s="25" t="s">
        <v>49</v>
      </c>
      <c r="L213" s="25" t="s">
        <v>878</v>
      </c>
      <c r="M213" s="25" t="s">
        <v>51</v>
      </c>
      <c r="N213" s="25" t="s">
        <v>51</v>
      </c>
      <c r="O213" s="26" t="s">
        <v>613</v>
      </c>
      <c r="P213" s="21" t="s">
        <v>53</v>
      </c>
      <c r="Q213" s="22">
        <v>0.04097222222222222</v>
      </c>
      <c r="R213" s="13">
        <v>0.03680555555555556</v>
      </c>
      <c r="S213" s="15">
        <f t="shared" si="35"/>
        <v>0.07777777778</v>
      </c>
      <c r="T213" s="29">
        <v>46002.25</v>
      </c>
      <c r="U213" s="25" t="s">
        <v>55</v>
      </c>
      <c r="V213" s="13">
        <f t="shared" si="36"/>
        <v>0.07777777778</v>
      </c>
      <c r="W213" s="19" t="s">
        <v>56</v>
      </c>
      <c r="X213" s="20" t="s">
        <v>57</v>
      </c>
      <c r="Y213" s="25" t="s">
        <v>503</v>
      </c>
      <c r="Z213" s="36"/>
      <c r="AA213" s="36"/>
      <c r="AB213" s="26" t="s">
        <v>45</v>
      </c>
      <c r="AC213" s="36"/>
      <c r="AD213" s="25" t="s">
        <v>614</v>
      </c>
      <c r="AE213" s="36"/>
      <c r="AF213" s="36"/>
      <c r="AG213" s="36"/>
      <c r="AH213" s="36"/>
      <c r="AI213" s="36"/>
      <c r="AJ213" s="36"/>
      <c r="AK213" s="36"/>
      <c r="AL213" s="36"/>
      <c r="AM213" s="37"/>
    </row>
    <row r="214" ht="15.75" customHeight="1">
      <c r="A214" s="30" t="s">
        <v>838</v>
      </c>
      <c r="C214" s="30" t="s">
        <v>879</v>
      </c>
      <c r="D214" s="30" t="s">
        <v>880</v>
      </c>
      <c r="E214" s="25" t="s">
        <v>43</v>
      </c>
      <c r="F214" s="30" t="s">
        <v>881</v>
      </c>
      <c r="G214" s="25" t="s">
        <v>45</v>
      </c>
      <c r="H214" s="32">
        <v>22002.0</v>
      </c>
      <c r="I214" s="26" t="s">
        <v>71</v>
      </c>
      <c r="J214" s="25" t="s">
        <v>611</v>
      </c>
      <c r="K214" s="25" t="s">
        <v>49</v>
      </c>
      <c r="L214" s="25" t="s">
        <v>882</v>
      </c>
      <c r="M214" s="25" t="s">
        <v>51</v>
      </c>
      <c r="N214" s="25" t="s">
        <v>51</v>
      </c>
      <c r="O214" s="26" t="s">
        <v>613</v>
      </c>
      <c r="P214" s="21" t="s">
        <v>53</v>
      </c>
      <c r="Q214" s="22">
        <v>0.04097222222222222</v>
      </c>
      <c r="R214" s="13">
        <v>0.03680555555555556</v>
      </c>
      <c r="S214" s="15">
        <f t="shared" si="35"/>
        <v>0.07777777778</v>
      </c>
      <c r="T214" s="29">
        <v>46002.25</v>
      </c>
      <c r="U214" s="25" t="s">
        <v>55</v>
      </c>
      <c r="V214" s="13">
        <f t="shared" si="36"/>
        <v>0.07777777778</v>
      </c>
      <c r="W214" s="19" t="s">
        <v>56</v>
      </c>
      <c r="X214" s="20" t="s">
        <v>57</v>
      </c>
      <c r="Y214" s="25" t="s">
        <v>503</v>
      </c>
      <c r="Z214" s="38"/>
      <c r="AA214" s="38"/>
      <c r="AB214" s="26" t="s">
        <v>45</v>
      </c>
      <c r="AC214" s="38"/>
      <c r="AD214" s="25" t="s">
        <v>614</v>
      </c>
      <c r="AE214" s="38"/>
      <c r="AF214" s="38"/>
      <c r="AG214" s="38"/>
      <c r="AH214" s="38"/>
      <c r="AI214" s="38"/>
      <c r="AJ214" s="38"/>
      <c r="AK214" s="38"/>
      <c r="AL214" s="38"/>
      <c r="AM214" s="39"/>
    </row>
    <row r="215" ht="15.75" customHeight="1">
      <c r="A215" s="30" t="s">
        <v>883</v>
      </c>
      <c r="C215" s="30" t="s">
        <v>884</v>
      </c>
      <c r="D215" s="30" t="s">
        <v>885</v>
      </c>
      <c r="E215" s="25" t="s">
        <v>43</v>
      </c>
      <c r="F215" s="30" t="s">
        <v>886</v>
      </c>
      <c r="G215" s="25" t="s">
        <v>45</v>
      </c>
      <c r="H215" s="32">
        <v>21608.0</v>
      </c>
      <c r="I215" s="26" t="s">
        <v>71</v>
      </c>
      <c r="J215" s="25" t="s">
        <v>611</v>
      </c>
      <c r="K215" s="25" t="s">
        <v>49</v>
      </c>
      <c r="L215" s="25" t="s">
        <v>887</v>
      </c>
      <c r="M215" s="25" t="s">
        <v>51</v>
      </c>
      <c r="N215" s="25" t="s">
        <v>51</v>
      </c>
      <c r="O215" s="26" t="s">
        <v>613</v>
      </c>
      <c r="P215" s="21" t="s">
        <v>53</v>
      </c>
      <c r="Q215" s="22">
        <v>0.04097222222222222</v>
      </c>
      <c r="R215" s="13">
        <v>0.03680555555555556</v>
      </c>
      <c r="S215" s="15">
        <f t="shared" si="35"/>
        <v>0.07777777778</v>
      </c>
      <c r="T215" s="29">
        <v>46002.25</v>
      </c>
      <c r="U215" s="25" t="s">
        <v>55</v>
      </c>
      <c r="V215" s="13">
        <f t="shared" si="36"/>
        <v>0.07777777778</v>
      </c>
      <c r="W215" s="19" t="s">
        <v>56</v>
      </c>
      <c r="X215" s="20" t="s">
        <v>57</v>
      </c>
      <c r="Y215" s="25" t="s">
        <v>503</v>
      </c>
      <c r="Z215" s="36"/>
      <c r="AA215" s="36"/>
      <c r="AB215" s="26" t="s">
        <v>45</v>
      </c>
      <c r="AC215" s="36"/>
      <c r="AD215" s="25" t="s">
        <v>614</v>
      </c>
      <c r="AE215" s="36"/>
      <c r="AF215" s="36"/>
      <c r="AG215" s="36"/>
      <c r="AH215" s="36"/>
      <c r="AI215" s="36"/>
      <c r="AJ215" s="36"/>
      <c r="AK215" s="36"/>
      <c r="AL215" s="36"/>
      <c r="AM215" s="37"/>
    </row>
    <row r="216" ht="15.75" customHeight="1">
      <c r="A216" s="30" t="s">
        <v>888</v>
      </c>
      <c r="C216" s="30" t="s">
        <v>889</v>
      </c>
      <c r="D216" s="30" t="s">
        <v>890</v>
      </c>
      <c r="E216" s="25" t="s">
        <v>43</v>
      </c>
      <c r="F216" s="30" t="s">
        <v>891</v>
      </c>
      <c r="G216" s="25" t="s">
        <v>45</v>
      </c>
      <c r="H216" s="35">
        <v>13704.0</v>
      </c>
      <c r="I216" s="26" t="s">
        <v>71</v>
      </c>
      <c r="J216" s="25" t="s">
        <v>611</v>
      </c>
      <c r="K216" s="25" t="s">
        <v>49</v>
      </c>
      <c r="L216" s="25" t="s">
        <v>892</v>
      </c>
      <c r="M216" s="25" t="s">
        <v>51</v>
      </c>
      <c r="N216" s="25" t="s">
        <v>51</v>
      </c>
      <c r="O216" s="26" t="s">
        <v>613</v>
      </c>
      <c r="P216" s="21" t="s">
        <v>53</v>
      </c>
      <c r="Q216" s="22">
        <v>0.04097222222222222</v>
      </c>
      <c r="R216" s="13">
        <v>0.03680555555555556</v>
      </c>
      <c r="S216" s="15">
        <f t="shared" si="35"/>
        <v>0.07777777778</v>
      </c>
      <c r="T216" s="29">
        <v>46002.25</v>
      </c>
      <c r="U216" s="25" t="s">
        <v>55</v>
      </c>
      <c r="V216" s="13">
        <f t="shared" si="36"/>
        <v>0.07777777778</v>
      </c>
      <c r="W216" s="19" t="s">
        <v>56</v>
      </c>
      <c r="X216" s="20" t="s">
        <v>57</v>
      </c>
      <c r="Y216" s="25" t="s">
        <v>503</v>
      </c>
      <c r="Z216" s="38"/>
      <c r="AA216" s="38"/>
      <c r="AB216" s="26" t="s">
        <v>45</v>
      </c>
      <c r="AC216" s="38"/>
      <c r="AD216" s="25" t="s">
        <v>614</v>
      </c>
      <c r="AE216" s="38"/>
      <c r="AF216" s="38"/>
      <c r="AG216" s="38"/>
      <c r="AH216" s="38"/>
      <c r="AI216" s="38"/>
      <c r="AJ216" s="38"/>
      <c r="AK216" s="38"/>
      <c r="AL216" s="38"/>
      <c r="AM216" s="39"/>
    </row>
    <row r="217" ht="15.75" customHeight="1">
      <c r="A217" s="30" t="s">
        <v>893</v>
      </c>
      <c r="C217" s="30" t="s">
        <v>894</v>
      </c>
      <c r="D217" s="30" t="s">
        <v>895</v>
      </c>
      <c r="E217" s="25" t="s">
        <v>43</v>
      </c>
      <c r="F217" s="30" t="s">
        <v>896</v>
      </c>
      <c r="G217" s="25" t="s">
        <v>45</v>
      </c>
      <c r="H217" s="35">
        <v>33793.0</v>
      </c>
      <c r="I217" s="26" t="s">
        <v>71</v>
      </c>
      <c r="J217" s="25" t="s">
        <v>611</v>
      </c>
      <c r="K217" s="25" t="s">
        <v>49</v>
      </c>
      <c r="L217" s="25" t="s">
        <v>897</v>
      </c>
      <c r="M217" s="25" t="s">
        <v>51</v>
      </c>
      <c r="N217" s="25" t="s">
        <v>51</v>
      </c>
      <c r="O217" s="26" t="s">
        <v>613</v>
      </c>
      <c r="P217" s="21" t="s">
        <v>53</v>
      </c>
      <c r="Q217" s="22">
        <v>0.04097222222222222</v>
      </c>
      <c r="R217" s="13">
        <v>0.03680555555555556</v>
      </c>
      <c r="S217" s="15">
        <f t="shared" si="35"/>
        <v>0.07777777778</v>
      </c>
      <c r="T217" s="29">
        <v>46002.25</v>
      </c>
      <c r="U217" s="25" t="s">
        <v>55</v>
      </c>
      <c r="V217" s="13">
        <f t="shared" si="36"/>
        <v>0.07777777778</v>
      </c>
      <c r="W217" s="19" t="s">
        <v>56</v>
      </c>
      <c r="X217" s="20" t="s">
        <v>57</v>
      </c>
      <c r="Y217" s="25" t="s">
        <v>503</v>
      </c>
      <c r="Z217" s="36"/>
      <c r="AA217" s="36"/>
      <c r="AB217" s="26" t="s">
        <v>45</v>
      </c>
      <c r="AC217" s="36"/>
      <c r="AD217" s="25" t="s">
        <v>614</v>
      </c>
      <c r="AE217" s="36"/>
      <c r="AF217" s="36"/>
      <c r="AG217" s="36"/>
      <c r="AH217" s="36"/>
      <c r="AI217" s="36"/>
      <c r="AJ217" s="36"/>
      <c r="AK217" s="36"/>
      <c r="AL217" s="36"/>
      <c r="AM217" s="37"/>
    </row>
    <row r="218" ht="15.75" customHeight="1">
      <c r="A218" s="30" t="s">
        <v>898</v>
      </c>
      <c r="C218" s="30" t="s">
        <v>894</v>
      </c>
      <c r="D218" s="30" t="s">
        <v>899</v>
      </c>
      <c r="E218" s="25" t="s">
        <v>43</v>
      </c>
      <c r="F218" s="30" t="s">
        <v>900</v>
      </c>
      <c r="G218" s="25" t="s">
        <v>45</v>
      </c>
      <c r="H218" s="32">
        <v>20805.0</v>
      </c>
      <c r="I218" s="26" t="s">
        <v>71</v>
      </c>
      <c r="J218" s="25" t="s">
        <v>611</v>
      </c>
      <c r="K218" s="25" t="s">
        <v>49</v>
      </c>
      <c r="L218" s="25" t="s">
        <v>901</v>
      </c>
      <c r="M218" s="25" t="s">
        <v>51</v>
      </c>
      <c r="N218" s="25" t="s">
        <v>51</v>
      </c>
      <c r="O218" s="26" t="s">
        <v>613</v>
      </c>
      <c r="P218" s="21" t="s">
        <v>53</v>
      </c>
      <c r="Q218" s="22">
        <v>0.04097222222222222</v>
      </c>
      <c r="R218" s="13">
        <v>0.03680555555555556</v>
      </c>
      <c r="S218" s="15">
        <f t="shared" si="35"/>
        <v>0.07777777778</v>
      </c>
      <c r="T218" s="29">
        <v>46002.25</v>
      </c>
      <c r="U218" s="25" t="s">
        <v>55</v>
      </c>
      <c r="V218" s="13">
        <f t="shared" si="36"/>
        <v>0.07777777778</v>
      </c>
      <c r="W218" s="19" t="s">
        <v>56</v>
      </c>
      <c r="X218" s="20" t="s">
        <v>57</v>
      </c>
      <c r="Y218" s="25" t="s">
        <v>503</v>
      </c>
      <c r="Z218" s="38"/>
      <c r="AA218" s="38"/>
      <c r="AB218" s="26" t="s">
        <v>45</v>
      </c>
      <c r="AC218" s="38"/>
      <c r="AD218" s="25" t="s">
        <v>614</v>
      </c>
      <c r="AE218" s="38"/>
      <c r="AF218" s="38"/>
      <c r="AG218" s="38"/>
      <c r="AH218" s="38"/>
      <c r="AI218" s="38"/>
      <c r="AJ218" s="38"/>
      <c r="AK218" s="38"/>
      <c r="AL218" s="38"/>
      <c r="AM218" s="39"/>
    </row>
    <row r="219" ht="15.75" customHeight="1">
      <c r="A219" s="43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44"/>
      <c r="U219" s="44"/>
      <c r="V219" s="44"/>
      <c r="W219" s="36"/>
      <c r="X219" s="36"/>
      <c r="Y219" s="44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7"/>
    </row>
    <row r="220" ht="15.75" customHeight="1">
      <c r="A220" s="45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46"/>
      <c r="U220" s="46"/>
      <c r="V220" s="46"/>
      <c r="W220" s="38"/>
      <c r="X220" s="38"/>
      <c r="Y220" s="46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9"/>
    </row>
    <row r="221" ht="15.75" customHeight="1">
      <c r="A221" s="43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44"/>
      <c r="U221" s="44"/>
      <c r="V221" s="44"/>
      <c r="W221" s="36"/>
      <c r="X221" s="36"/>
      <c r="Y221" s="44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7"/>
    </row>
    <row r="222" ht="15.75" customHeight="1">
      <c r="A222" s="45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46"/>
      <c r="U222" s="46"/>
      <c r="V222" s="46"/>
      <c r="W222" s="38"/>
      <c r="X222" s="38"/>
      <c r="Y222" s="46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9"/>
    </row>
    <row r="223" ht="15.75" customHeight="1">
      <c r="A223" s="43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44"/>
      <c r="U223" s="44"/>
      <c r="V223" s="44"/>
      <c r="W223" s="36"/>
      <c r="X223" s="36"/>
      <c r="Y223" s="44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7"/>
    </row>
    <row r="224" ht="15.75" customHeight="1">
      <c r="A224" s="45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46"/>
      <c r="U224" s="46"/>
      <c r="V224" s="46"/>
      <c r="W224" s="38"/>
      <c r="X224" s="38"/>
      <c r="Y224" s="46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9"/>
    </row>
    <row r="225" ht="15.75" customHeight="1">
      <c r="A225" s="43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44"/>
      <c r="U225" s="44"/>
      <c r="V225" s="44"/>
      <c r="W225" s="36"/>
      <c r="X225" s="36"/>
      <c r="Y225" s="44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7"/>
    </row>
    <row r="226" ht="15.75" customHeight="1">
      <c r="A226" s="45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46"/>
      <c r="U226" s="46"/>
      <c r="V226" s="46"/>
      <c r="W226" s="38"/>
      <c r="X226" s="38"/>
      <c r="Y226" s="46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9"/>
    </row>
    <row r="227" ht="15.75" customHeight="1">
      <c r="A227" s="43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44"/>
      <c r="U227" s="44"/>
      <c r="V227" s="44"/>
      <c r="W227" s="36"/>
      <c r="X227" s="36"/>
      <c r="Y227" s="44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7"/>
    </row>
    <row r="228" ht="15.75" customHeight="1">
      <c r="A228" s="45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46"/>
      <c r="U228" s="46"/>
      <c r="V228" s="46"/>
      <c r="W228" s="38"/>
      <c r="X228" s="38"/>
      <c r="Y228" s="46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9"/>
    </row>
    <row r="229" ht="15.75" customHeight="1">
      <c r="A229" s="43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44"/>
      <c r="U229" s="44"/>
      <c r="V229" s="44"/>
      <c r="W229" s="36"/>
      <c r="X229" s="36"/>
      <c r="Y229" s="44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7"/>
    </row>
    <row r="230" ht="15.75" customHeight="1">
      <c r="A230" s="45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46"/>
      <c r="U230" s="46"/>
      <c r="V230" s="46"/>
      <c r="W230" s="38"/>
      <c r="X230" s="38"/>
      <c r="Y230" s="46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9"/>
    </row>
    <row r="231" ht="15.75" customHeight="1">
      <c r="A231" s="43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44"/>
      <c r="U231" s="44"/>
      <c r="V231" s="44"/>
      <c r="W231" s="36"/>
      <c r="X231" s="36"/>
      <c r="Y231" s="44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7"/>
    </row>
    <row r="232" ht="15.75" customHeight="1">
      <c r="A232" s="45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46"/>
      <c r="U232" s="46"/>
      <c r="V232" s="46"/>
      <c r="W232" s="38"/>
      <c r="X232" s="38"/>
      <c r="Y232" s="46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9"/>
    </row>
    <row r="233" ht="15.75" customHeight="1">
      <c r="A233" s="43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44"/>
      <c r="U233" s="44"/>
      <c r="V233" s="44"/>
      <c r="W233" s="36"/>
      <c r="X233" s="36"/>
      <c r="Y233" s="44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7"/>
    </row>
    <row r="234" ht="15.75" customHeight="1">
      <c r="A234" s="45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46"/>
      <c r="U234" s="46"/>
      <c r="V234" s="46"/>
      <c r="W234" s="38"/>
      <c r="X234" s="38"/>
      <c r="Y234" s="46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9"/>
    </row>
    <row r="235" ht="15.75" customHeight="1">
      <c r="A235" s="43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44"/>
      <c r="U235" s="44"/>
      <c r="V235" s="44"/>
      <c r="W235" s="36"/>
      <c r="X235" s="36"/>
      <c r="Y235" s="44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7"/>
    </row>
    <row r="236" ht="15.75" customHeight="1">
      <c r="A236" s="45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46"/>
      <c r="U236" s="46"/>
      <c r="V236" s="46"/>
      <c r="W236" s="38"/>
      <c r="X236" s="38"/>
      <c r="Y236" s="46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9"/>
    </row>
    <row r="237" ht="15.75" customHeight="1">
      <c r="A237" s="43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44"/>
      <c r="U237" s="44"/>
      <c r="V237" s="44"/>
      <c r="W237" s="36"/>
      <c r="X237" s="36"/>
      <c r="Y237" s="44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7"/>
    </row>
    <row r="238" ht="15.75" customHeight="1">
      <c r="A238" s="45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46"/>
      <c r="U238" s="46"/>
      <c r="V238" s="46"/>
      <c r="W238" s="38"/>
      <c r="X238" s="38"/>
      <c r="Y238" s="46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9"/>
    </row>
    <row r="239" ht="15.75" customHeight="1">
      <c r="A239" s="43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44"/>
      <c r="U239" s="44"/>
      <c r="V239" s="44"/>
      <c r="W239" s="36"/>
      <c r="X239" s="36"/>
      <c r="Y239" s="44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7"/>
    </row>
    <row r="240" ht="15.75" customHeight="1">
      <c r="A240" s="45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46"/>
      <c r="U240" s="46"/>
      <c r="V240" s="46"/>
      <c r="W240" s="38"/>
      <c r="X240" s="38"/>
      <c r="Y240" s="46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9"/>
    </row>
    <row r="241" ht="15.75" customHeight="1">
      <c r="A241" s="43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44"/>
      <c r="U241" s="44"/>
      <c r="V241" s="44"/>
      <c r="W241" s="36"/>
      <c r="X241" s="36"/>
      <c r="Y241" s="44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7"/>
    </row>
    <row r="242" ht="15.75" customHeight="1">
      <c r="A242" s="45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46"/>
      <c r="U242" s="46"/>
      <c r="V242" s="46"/>
      <c r="W242" s="38"/>
      <c r="X242" s="38"/>
      <c r="Y242" s="46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9"/>
    </row>
    <row r="243" ht="15.75" customHeight="1">
      <c r="A243" s="43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44"/>
      <c r="U243" s="44"/>
      <c r="V243" s="44"/>
      <c r="W243" s="36"/>
      <c r="X243" s="36"/>
      <c r="Y243" s="44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7"/>
    </row>
    <row r="244" ht="15.75" customHeight="1">
      <c r="A244" s="45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46"/>
      <c r="U244" s="46"/>
      <c r="V244" s="46"/>
      <c r="W244" s="38"/>
      <c r="X244" s="38"/>
      <c r="Y244" s="46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9"/>
    </row>
    <row r="245" ht="15.75" customHeight="1">
      <c r="A245" s="43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44"/>
      <c r="U245" s="44"/>
      <c r="V245" s="44"/>
      <c r="W245" s="36"/>
      <c r="X245" s="36"/>
      <c r="Y245" s="44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7"/>
    </row>
    <row r="246" ht="15.75" customHeight="1">
      <c r="A246" s="45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46"/>
      <c r="U246" s="46"/>
      <c r="V246" s="46"/>
      <c r="W246" s="38"/>
      <c r="X246" s="38"/>
      <c r="Y246" s="46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9"/>
    </row>
    <row r="247" ht="15.75" customHeight="1">
      <c r="A247" s="43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44"/>
      <c r="U247" s="44"/>
      <c r="V247" s="44"/>
      <c r="W247" s="36"/>
      <c r="X247" s="36"/>
      <c r="Y247" s="44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7"/>
    </row>
    <row r="248" ht="15.75" customHeight="1">
      <c r="A248" s="45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46"/>
      <c r="U248" s="46"/>
      <c r="V248" s="46"/>
      <c r="W248" s="38"/>
      <c r="X248" s="38"/>
      <c r="Y248" s="46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9"/>
    </row>
    <row r="249" ht="15.75" customHeight="1">
      <c r="A249" s="43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44"/>
      <c r="U249" s="44"/>
      <c r="V249" s="44"/>
      <c r="W249" s="36"/>
      <c r="X249" s="36"/>
      <c r="Y249" s="44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7"/>
    </row>
    <row r="250" ht="15.75" customHeight="1">
      <c r="A250" s="45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46"/>
      <c r="U250" s="46"/>
      <c r="V250" s="46"/>
      <c r="W250" s="38"/>
      <c r="X250" s="38"/>
      <c r="Y250" s="46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9"/>
    </row>
    <row r="251" ht="15.75" customHeight="1">
      <c r="A251" s="43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44"/>
      <c r="U251" s="44"/>
      <c r="V251" s="44"/>
      <c r="W251" s="36"/>
      <c r="X251" s="36"/>
      <c r="Y251" s="44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7"/>
    </row>
    <row r="252" ht="15.75" customHeight="1">
      <c r="A252" s="45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46"/>
      <c r="U252" s="46"/>
      <c r="V252" s="46"/>
      <c r="W252" s="38"/>
      <c r="X252" s="38"/>
      <c r="Y252" s="46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9"/>
    </row>
    <row r="253" ht="15.75" customHeight="1">
      <c r="A253" s="43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44"/>
      <c r="U253" s="44"/>
      <c r="V253" s="44"/>
      <c r="W253" s="36"/>
      <c r="X253" s="36"/>
      <c r="Y253" s="44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7"/>
    </row>
    <row r="254" ht="15.75" customHeight="1">
      <c r="A254" s="45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46"/>
      <c r="U254" s="46"/>
      <c r="V254" s="46"/>
      <c r="W254" s="38"/>
      <c r="X254" s="38"/>
      <c r="Y254" s="46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9"/>
    </row>
    <row r="255" ht="15.75" customHeight="1">
      <c r="A255" s="43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44"/>
      <c r="U255" s="44"/>
      <c r="V255" s="44"/>
      <c r="W255" s="36"/>
      <c r="X255" s="36"/>
      <c r="Y255" s="44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7"/>
    </row>
    <row r="256" ht="15.75" customHeight="1">
      <c r="A256" s="45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46"/>
      <c r="U256" s="46"/>
      <c r="V256" s="46"/>
      <c r="W256" s="38"/>
      <c r="X256" s="38"/>
      <c r="Y256" s="46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9"/>
    </row>
    <row r="257" ht="15.75" customHeight="1">
      <c r="A257" s="43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44"/>
      <c r="U257" s="44"/>
      <c r="V257" s="44"/>
      <c r="W257" s="36"/>
      <c r="X257" s="36"/>
      <c r="Y257" s="44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7"/>
    </row>
    <row r="258" ht="15.75" customHeight="1">
      <c r="A258" s="45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46"/>
      <c r="U258" s="46"/>
      <c r="V258" s="46"/>
      <c r="W258" s="38"/>
      <c r="X258" s="38"/>
      <c r="Y258" s="46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9"/>
    </row>
    <row r="259" ht="15.75" customHeight="1">
      <c r="A259" s="43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44"/>
      <c r="U259" s="44"/>
      <c r="V259" s="44"/>
      <c r="W259" s="36"/>
      <c r="X259" s="36"/>
      <c r="Y259" s="44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7"/>
    </row>
    <row r="260" ht="15.75" customHeight="1">
      <c r="A260" s="45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46"/>
      <c r="U260" s="46"/>
      <c r="V260" s="46"/>
      <c r="W260" s="38"/>
      <c r="X260" s="38"/>
      <c r="Y260" s="46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9"/>
    </row>
    <row r="261" ht="15.75" customHeight="1">
      <c r="A261" s="43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44"/>
      <c r="U261" s="44"/>
      <c r="V261" s="44"/>
      <c r="W261" s="36"/>
      <c r="X261" s="36"/>
      <c r="Y261" s="44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7"/>
    </row>
    <row r="262" ht="15.75" customHeight="1">
      <c r="A262" s="45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46"/>
      <c r="U262" s="46"/>
      <c r="V262" s="46"/>
      <c r="W262" s="38"/>
      <c r="X262" s="38"/>
      <c r="Y262" s="46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9"/>
    </row>
    <row r="263" ht="15.75" customHeight="1">
      <c r="A263" s="43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44"/>
      <c r="U263" s="44"/>
      <c r="V263" s="44"/>
      <c r="W263" s="36"/>
      <c r="X263" s="36"/>
      <c r="Y263" s="44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7"/>
    </row>
    <row r="264" ht="15.75" customHeight="1">
      <c r="A264" s="45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46"/>
      <c r="U264" s="46"/>
      <c r="V264" s="46"/>
      <c r="W264" s="38"/>
      <c r="X264" s="38"/>
      <c r="Y264" s="46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9"/>
    </row>
    <row r="265" ht="15.75" customHeight="1">
      <c r="A265" s="43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44"/>
      <c r="U265" s="44"/>
      <c r="V265" s="44"/>
      <c r="W265" s="36"/>
      <c r="X265" s="36"/>
      <c r="Y265" s="44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7"/>
    </row>
    <row r="266" ht="15.75" customHeight="1">
      <c r="A266" s="45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46"/>
      <c r="U266" s="46"/>
      <c r="V266" s="46"/>
      <c r="W266" s="38"/>
      <c r="X266" s="38"/>
      <c r="Y266" s="46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9"/>
    </row>
    <row r="267" ht="15.75" customHeight="1">
      <c r="A267" s="43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44"/>
      <c r="U267" s="44"/>
      <c r="V267" s="44"/>
      <c r="W267" s="36"/>
      <c r="X267" s="36"/>
      <c r="Y267" s="44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7"/>
    </row>
    <row r="268" ht="15.75" customHeight="1">
      <c r="A268" s="45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46"/>
      <c r="U268" s="46"/>
      <c r="V268" s="46"/>
      <c r="W268" s="38"/>
      <c r="X268" s="38"/>
      <c r="Y268" s="46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9"/>
    </row>
    <row r="269" ht="15.75" customHeight="1">
      <c r="A269" s="43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44"/>
      <c r="U269" s="44"/>
      <c r="V269" s="44"/>
      <c r="W269" s="36"/>
      <c r="X269" s="36"/>
      <c r="Y269" s="44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7"/>
    </row>
    <row r="270" ht="15.75" customHeight="1">
      <c r="A270" s="45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46"/>
      <c r="U270" s="46"/>
      <c r="V270" s="46"/>
      <c r="W270" s="38"/>
      <c r="X270" s="38"/>
      <c r="Y270" s="46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9"/>
    </row>
    <row r="271" ht="15.75" customHeight="1">
      <c r="A271" s="43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44"/>
      <c r="U271" s="44"/>
      <c r="V271" s="44"/>
      <c r="W271" s="36"/>
      <c r="X271" s="36"/>
      <c r="Y271" s="44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7"/>
    </row>
    <row r="272" ht="15.75" customHeight="1">
      <c r="A272" s="45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46"/>
      <c r="U272" s="46"/>
      <c r="V272" s="46"/>
      <c r="W272" s="38"/>
      <c r="X272" s="38"/>
      <c r="Y272" s="46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9"/>
    </row>
    <row r="273" ht="15.75" customHeight="1">
      <c r="A273" s="43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44"/>
      <c r="U273" s="44"/>
      <c r="V273" s="44"/>
      <c r="W273" s="36"/>
      <c r="X273" s="36"/>
      <c r="Y273" s="44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7"/>
    </row>
    <row r="274" ht="15.75" customHeight="1">
      <c r="A274" s="45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46"/>
      <c r="U274" s="46"/>
      <c r="V274" s="46"/>
      <c r="W274" s="38"/>
      <c r="X274" s="38"/>
      <c r="Y274" s="46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9"/>
    </row>
    <row r="275" ht="15.75" customHeight="1">
      <c r="A275" s="43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44"/>
      <c r="U275" s="44"/>
      <c r="V275" s="44"/>
      <c r="W275" s="36"/>
      <c r="X275" s="36"/>
      <c r="Y275" s="44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7"/>
    </row>
    <row r="276" ht="15.75" customHeight="1">
      <c r="A276" s="45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46"/>
      <c r="U276" s="46"/>
      <c r="V276" s="46"/>
      <c r="W276" s="38"/>
      <c r="X276" s="38"/>
      <c r="Y276" s="46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9"/>
    </row>
    <row r="277" ht="15.75" customHeight="1">
      <c r="A277" s="43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44"/>
      <c r="U277" s="44"/>
      <c r="V277" s="44"/>
      <c r="W277" s="36"/>
      <c r="X277" s="36"/>
      <c r="Y277" s="44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7"/>
    </row>
    <row r="278" ht="15.75" customHeight="1">
      <c r="A278" s="45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46"/>
      <c r="U278" s="46"/>
      <c r="V278" s="46"/>
      <c r="W278" s="38"/>
      <c r="X278" s="38"/>
      <c r="Y278" s="46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9"/>
    </row>
    <row r="279" ht="15.75" customHeight="1">
      <c r="A279" s="43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44"/>
      <c r="U279" s="44"/>
      <c r="V279" s="44"/>
      <c r="W279" s="36"/>
      <c r="X279" s="36"/>
      <c r="Y279" s="44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7"/>
    </row>
    <row r="280" ht="15.75" customHeight="1">
      <c r="A280" s="45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46"/>
      <c r="U280" s="46"/>
      <c r="V280" s="46"/>
      <c r="W280" s="38"/>
      <c r="X280" s="38"/>
      <c r="Y280" s="46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9"/>
    </row>
    <row r="281" ht="15.75" customHeight="1">
      <c r="A281" s="43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44"/>
      <c r="U281" s="44"/>
      <c r="V281" s="44"/>
      <c r="W281" s="36"/>
      <c r="X281" s="36"/>
      <c r="Y281" s="44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7"/>
    </row>
    <row r="282" ht="15.75" customHeight="1">
      <c r="A282" s="45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46"/>
      <c r="U282" s="46"/>
      <c r="V282" s="46"/>
      <c r="W282" s="38"/>
      <c r="X282" s="38"/>
      <c r="Y282" s="46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9"/>
    </row>
    <row r="283" ht="15.75" customHeight="1">
      <c r="A283" s="43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44"/>
      <c r="U283" s="44"/>
      <c r="V283" s="44"/>
      <c r="W283" s="36"/>
      <c r="X283" s="36"/>
      <c r="Y283" s="44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7"/>
    </row>
    <row r="284" ht="15.75" customHeight="1">
      <c r="A284" s="45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46"/>
      <c r="U284" s="46"/>
      <c r="V284" s="46"/>
      <c r="W284" s="38"/>
      <c r="X284" s="38"/>
      <c r="Y284" s="46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9"/>
    </row>
    <row r="285" ht="15.75" customHeight="1">
      <c r="A285" s="43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44"/>
      <c r="U285" s="44"/>
      <c r="V285" s="44"/>
      <c r="W285" s="36"/>
      <c r="X285" s="36"/>
      <c r="Y285" s="44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7"/>
    </row>
    <row r="286" ht="15.75" customHeight="1">
      <c r="A286" s="45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46"/>
      <c r="U286" s="46"/>
      <c r="V286" s="46"/>
      <c r="W286" s="38"/>
      <c r="X286" s="38"/>
      <c r="Y286" s="46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9"/>
    </row>
    <row r="287" ht="15.75" customHeight="1">
      <c r="A287" s="43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44"/>
      <c r="U287" s="44"/>
      <c r="V287" s="44"/>
      <c r="W287" s="36"/>
      <c r="X287" s="36"/>
      <c r="Y287" s="44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7"/>
    </row>
    <row r="288" ht="15.75" customHeight="1">
      <c r="A288" s="45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46"/>
      <c r="U288" s="46"/>
      <c r="V288" s="46"/>
      <c r="W288" s="38"/>
      <c r="X288" s="38"/>
      <c r="Y288" s="46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9"/>
    </row>
    <row r="289" ht="15.75" customHeight="1">
      <c r="A289" s="43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44"/>
      <c r="U289" s="44"/>
      <c r="V289" s="44"/>
      <c r="W289" s="36"/>
      <c r="X289" s="36"/>
      <c r="Y289" s="44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7"/>
    </row>
    <row r="290" ht="15.75" customHeight="1">
      <c r="A290" s="45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46"/>
      <c r="U290" s="46"/>
      <c r="V290" s="46"/>
      <c r="W290" s="38"/>
      <c r="X290" s="38"/>
      <c r="Y290" s="46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9"/>
    </row>
    <row r="291" ht="15.75" customHeight="1">
      <c r="A291" s="43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44"/>
      <c r="U291" s="44"/>
      <c r="V291" s="44"/>
      <c r="W291" s="36"/>
      <c r="X291" s="36"/>
      <c r="Y291" s="44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7"/>
    </row>
    <row r="292" ht="15.75" customHeight="1">
      <c r="A292" s="45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46"/>
      <c r="U292" s="46"/>
      <c r="V292" s="46"/>
      <c r="W292" s="38"/>
      <c r="X292" s="38"/>
      <c r="Y292" s="46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9"/>
    </row>
    <row r="293" ht="15.75" customHeight="1">
      <c r="A293" s="43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44"/>
      <c r="U293" s="44"/>
      <c r="V293" s="44"/>
      <c r="W293" s="36"/>
      <c r="X293" s="36"/>
      <c r="Y293" s="44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7"/>
    </row>
    <row r="294" ht="15.75" customHeight="1">
      <c r="A294" s="45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46"/>
      <c r="U294" s="46"/>
      <c r="V294" s="46"/>
      <c r="W294" s="38"/>
      <c r="X294" s="38"/>
      <c r="Y294" s="46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9"/>
    </row>
    <row r="295" ht="15.75" customHeight="1">
      <c r="A295" s="43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44"/>
      <c r="U295" s="44"/>
      <c r="V295" s="44"/>
      <c r="W295" s="36"/>
      <c r="X295" s="36"/>
      <c r="Y295" s="44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7"/>
    </row>
    <row r="296" ht="15.75" customHeight="1">
      <c r="A296" s="45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46"/>
      <c r="U296" s="46"/>
      <c r="V296" s="46"/>
      <c r="W296" s="38"/>
      <c r="X296" s="38"/>
      <c r="Y296" s="46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9"/>
    </row>
    <row r="297" ht="15.75" customHeight="1">
      <c r="A297" s="43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44"/>
      <c r="U297" s="44"/>
      <c r="V297" s="44"/>
      <c r="W297" s="36"/>
      <c r="X297" s="36"/>
      <c r="Y297" s="44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7"/>
    </row>
    <row r="298" ht="15.75" customHeight="1">
      <c r="A298" s="45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46"/>
      <c r="U298" s="46"/>
      <c r="V298" s="46"/>
      <c r="W298" s="38"/>
      <c r="X298" s="38"/>
      <c r="Y298" s="46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9"/>
    </row>
    <row r="299" ht="15.75" customHeight="1">
      <c r="A299" s="43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44"/>
      <c r="U299" s="44"/>
      <c r="V299" s="44"/>
      <c r="W299" s="36"/>
      <c r="X299" s="36"/>
      <c r="Y299" s="44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7"/>
    </row>
    <row r="300" ht="15.75" customHeight="1">
      <c r="A300" s="45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46"/>
      <c r="U300" s="46"/>
      <c r="V300" s="46"/>
      <c r="W300" s="38"/>
      <c r="X300" s="38"/>
      <c r="Y300" s="46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9"/>
    </row>
    <row r="301" ht="15.75" customHeight="1">
      <c r="A301" s="43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44"/>
      <c r="U301" s="44"/>
      <c r="V301" s="44"/>
      <c r="W301" s="36"/>
      <c r="X301" s="36"/>
      <c r="Y301" s="44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7"/>
    </row>
    <row r="302" ht="15.75" customHeight="1">
      <c r="A302" s="45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46"/>
      <c r="U302" s="46"/>
      <c r="V302" s="46"/>
      <c r="W302" s="38"/>
      <c r="X302" s="38"/>
      <c r="Y302" s="46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9"/>
    </row>
    <row r="303" ht="15.75" customHeight="1">
      <c r="A303" s="43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44"/>
      <c r="U303" s="44"/>
      <c r="V303" s="44"/>
      <c r="W303" s="36"/>
      <c r="X303" s="36"/>
      <c r="Y303" s="44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7"/>
    </row>
    <row r="304" ht="15.75" customHeight="1">
      <c r="A304" s="45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46"/>
      <c r="U304" s="46"/>
      <c r="V304" s="46"/>
      <c r="W304" s="38"/>
      <c r="X304" s="38"/>
      <c r="Y304" s="46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9"/>
    </row>
    <row r="305" ht="15.75" customHeight="1">
      <c r="A305" s="43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44"/>
      <c r="U305" s="44"/>
      <c r="V305" s="44"/>
      <c r="W305" s="36"/>
      <c r="X305" s="36"/>
      <c r="Y305" s="44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7"/>
    </row>
    <row r="306" ht="15.75" customHeight="1">
      <c r="A306" s="45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46"/>
      <c r="U306" s="46"/>
      <c r="V306" s="46"/>
      <c r="W306" s="38"/>
      <c r="X306" s="38"/>
      <c r="Y306" s="46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9"/>
    </row>
    <row r="307" ht="15.75" customHeight="1">
      <c r="A307" s="43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44"/>
      <c r="U307" s="44"/>
      <c r="V307" s="44"/>
      <c r="W307" s="36"/>
      <c r="X307" s="36"/>
      <c r="Y307" s="44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7"/>
    </row>
    <row r="308" ht="15.75" customHeight="1">
      <c r="A308" s="45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46"/>
      <c r="U308" s="46"/>
      <c r="V308" s="46"/>
      <c r="W308" s="38"/>
      <c r="X308" s="38"/>
      <c r="Y308" s="46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9"/>
    </row>
    <row r="309" ht="15.75" customHeight="1">
      <c r="A309" s="43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44"/>
      <c r="U309" s="44"/>
      <c r="V309" s="44"/>
      <c r="W309" s="36"/>
      <c r="X309" s="36"/>
      <c r="Y309" s="44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7"/>
    </row>
    <row r="310" ht="15.75" customHeight="1">
      <c r="A310" s="45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46"/>
      <c r="U310" s="46"/>
      <c r="V310" s="46"/>
      <c r="W310" s="38"/>
      <c r="X310" s="38"/>
      <c r="Y310" s="46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9"/>
    </row>
    <row r="311" ht="15.75" customHeight="1">
      <c r="A311" s="43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44"/>
      <c r="U311" s="44"/>
      <c r="V311" s="44"/>
      <c r="W311" s="36"/>
      <c r="X311" s="36"/>
      <c r="Y311" s="44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7"/>
    </row>
    <row r="312" ht="15.75" customHeight="1">
      <c r="A312" s="45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46"/>
      <c r="U312" s="46"/>
      <c r="V312" s="46"/>
      <c r="W312" s="38"/>
      <c r="X312" s="38"/>
      <c r="Y312" s="46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9"/>
    </row>
    <row r="313" ht="15.75" customHeight="1">
      <c r="A313" s="43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44"/>
      <c r="U313" s="44"/>
      <c r="V313" s="44"/>
      <c r="W313" s="36"/>
      <c r="X313" s="36"/>
      <c r="Y313" s="44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7"/>
    </row>
    <row r="314" ht="15.75" customHeight="1">
      <c r="A314" s="45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46"/>
      <c r="U314" s="46"/>
      <c r="V314" s="46"/>
      <c r="W314" s="38"/>
      <c r="X314" s="38"/>
      <c r="Y314" s="46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9"/>
    </row>
    <row r="315" ht="15.75" customHeight="1">
      <c r="A315" s="43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44"/>
      <c r="U315" s="44"/>
      <c r="V315" s="44"/>
      <c r="W315" s="36"/>
      <c r="X315" s="36"/>
      <c r="Y315" s="44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7"/>
    </row>
    <row r="316" ht="15.75" customHeight="1">
      <c r="A316" s="45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46"/>
      <c r="U316" s="46"/>
      <c r="V316" s="46"/>
      <c r="W316" s="38"/>
      <c r="X316" s="38"/>
      <c r="Y316" s="46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9"/>
    </row>
    <row r="317" ht="15.75" customHeight="1">
      <c r="A317" s="43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44"/>
      <c r="U317" s="44"/>
      <c r="V317" s="44"/>
      <c r="W317" s="36"/>
      <c r="X317" s="36"/>
      <c r="Y317" s="44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7"/>
    </row>
    <row r="318" ht="15.75" customHeight="1">
      <c r="A318" s="45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46"/>
      <c r="U318" s="46"/>
      <c r="V318" s="46"/>
      <c r="W318" s="38"/>
      <c r="X318" s="38"/>
      <c r="Y318" s="46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9"/>
    </row>
    <row r="319" ht="15.75" customHeight="1">
      <c r="A319" s="43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44"/>
      <c r="U319" s="44"/>
      <c r="V319" s="44"/>
      <c r="W319" s="36"/>
      <c r="X319" s="36"/>
      <c r="Y319" s="44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7"/>
    </row>
    <row r="320" ht="15.75" customHeight="1">
      <c r="A320" s="45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46"/>
      <c r="U320" s="46"/>
      <c r="V320" s="46"/>
      <c r="W320" s="38"/>
      <c r="X320" s="38"/>
      <c r="Y320" s="46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9"/>
    </row>
    <row r="321" ht="15.75" customHeight="1">
      <c r="A321" s="43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44"/>
      <c r="U321" s="44"/>
      <c r="V321" s="44"/>
      <c r="W321" s="36"/>
      <c r="X321" s="36"/>
      <c r="Y321" s="44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7"/>
    </row>
    <row r="322" ht="15.75" customHeight="1">
      <c r="A322" s="45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46"/>
      <c r="U322" s="46"/>
      <c r="V322" s="46"/>
      <c r="W322" s="38"/>
      <c r="X322" s="38"/>
      <c r="Y322" s="46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9"/>
    </row>
    <row r="323" ht="15.75" customHeight="1">
      <c r="A323" s="43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44"/>
      <c r="U323" s="44"/>
      <c r="V323" s="44"/>
      <c r="W323" s="36"/>
      <c r="X323" s="36"/>
      <c r="Y323" s="44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7"/>
    </row>
    <row r="324" ht="15.75" customHeight="1">
      <c r="A324" s="45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46"/>
      <c r="U324" s="46"/>
      <c r="V324" s="46"/>
      <c r="W324" s="38"/>
      <c r="X324" s="38"/>
      <c r="Y324" s="46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9"/>
    </row>
    <row r="325" ht="15.75" customHeight="1">
      <c r="A325" s="43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44"/>
      <c r="U325" s="44"/>
      <c r="V325" s="44"/>
      <c r="W325" s="36"/>
      <c r="X325" s="36"/>
      <c r="Y325" s="44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7"/>
    </row>
    <row r="326" ht="15.75" customHeight="1">
      <c r="A326" s="45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46"/>
      <c r="U326" s="46"/>
      <c r="V326" s="46"/>
      <c r="W326" s="38"/>
      <c r="X326" s="38"/>
      <c r="Y326" s="46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9"/>
    </row>
    <row r="327" ht="15.75" customHeight="1">
      <c r="A327" s="43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44"/>
      <c r="U327" s="44"/>
      <c r="V327" s="44"/>
      <c r="W327" s="36"/>
      <c r="X327" s="36"/>
      <c r="Y327" s="44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7"/>
    </row>
    <row r="328" ht="15.75" customHeight="1">
      <c r="A328" s="45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46"/>
      <c r="U328" s="46"/>
      <c r="V328" s="46"/>
      <c r="W328" s="38"/>
      <c r="X328" s="38"/>
      <c r="Y328" s="46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9"/>
    </row>
    <row r="329" ht="15.75" customHeight="1">
      <c r="A329" s="43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44"/>
      <c r="U329" s="44"/>
      <c r="V329" s="44"/>
      <c r="W329" s="36"/>
      <c r="X329" s="36"/>
      <c r="Y329" s="44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7"/>
    </row>
    <row r="330" ht="15.75" customHeight="1">
      <c r="A330" s="45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46"/>
      <c r="U330" s="46"/>
      <c r="V330" s="46"/>
      <c r="W330" s="38"/>
      <c r="X330" s="38"/>
      <c r="Y330" s="46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9"/>
    </row>
    <row r="331" ht="15.75" customHeight="1">
      <c r="A331" s="43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44"/>
      <c r="U331" s="44"/>
      <c r="V331" s="44"/>
      <c r="W331" s="36"/>
      <c r="X331" s="36"/>
      <c r="Y331" s="44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7"/>
    </row>
    <row r="332" ht="15.75" customHeight="1">
      <c r="A332" s="45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46"/>
      <c r="U332" s="46"/>
      <c r="V332" s="46"/>
      <c r="W332" s="38"/>
      <c r="X332" s="38"/>
      <c r="Y332" s="46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9"/>
    </row>
    <row r="333" ht="15.75" customHeight="1">
      <c r="A333" s="43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44"/>
      <c r="U333" s="44"/>
      <c r="V333" s="44"/>
      <c r="W333" s="36"/>
      <c r="X333" s="36"/>
      <c r="Y333" s="44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7"/>
    </row>
    <row r="334" ht="15.75" customHeight="1">
      <c r="A334" s="45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46"/>
      <c r="U334" s="46"/>
      <c r="V334" s="46"/>
      <c r="W334" s="38"/>
      <c r="X334" s="38"/>
      <c r="Y334" s="46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9"/>
    </row>
    <row r="335" ht="15.75" customHeight="1">
      <c r="A335" s="43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44"/>
      <c r="U335" s="44"/>
      <c r="V335" s="44"/>
      <c r="W335" s="36"/>
      <c r="X335" s="36"/>
      <c r="Y335" s="44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7"/>
    </row>
    <row r="336" ht="15.75" customHeight="1">
      <c r="A336" s="45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46"/>
      <c r="U336" s="46"/>
      <c r="V336" s="46"/>
      <c r="W336" s="38"/>
      <c r="X336" s="38"/>
      <c r="Y336" s="46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9"/>
    </row>
    <row r="337" ht="15.75" customHeight="1">
      <c r="A337" s="43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44"/>
      <c r="U337" s="44"/>
      <c r="V337" s="44"/>
      <c r="W337" s="36"/>
      <c r="X337" s="36"/>
      <c r="Y337" s="44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7"/>
    </row>
    <row r="338" ht="15.75" customHeight="1">
      <c r="A338" s="45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46"/>
      <c r="U338" s="46"/>
      <c r="V338" s="46"/>
      <c r="W338" s="38"/>
      <c r="X338" s="38"/>
      <c r="Y338" s="46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9"/>
    </row>
    <row r="339" ht="15.75" customHeight="1">
      <c r="A339" s="43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44"/>
      <c r="U339" s="44"/>
      <c r="V339" s="44"/>
      <c r="W339" s="36"/>
      <c r="X339" s="36"/>
      <c r="Y339" s="44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7"/>
    </row>
    <row r="340" ht="15.75" customHeight="1">
      <c r="A340" s="45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46"/>
      <c r="U340" s="46"/>
      <c r="V340" s="46"/>
      <c r="W340" s="38"/>
      <c r="X340" s="38"/>
      <c r="Y340" s="46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9"/>
    </row>
    <row r="341" ht="15.75" customHeight="1">
      <c r="A341" s="43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44"/>
      <c r="U341" s="44"/>
      <c r="V341" s="44"/>
      <c r="W341" s="36"/>
      <c r="X341" s="36"/>
      <c r="Y341" s="44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7"/>
    </row>
    <row r="342" ht="15.75" customHeight="1">
      <c r="A342" s="45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46"/>
      <c r="U342" s="46"/>
      <c r="V342" s="46"/>
      <c r="W342" s="38"/>
      <c r="X342" s="38"/>
      <c r="Y342" s="46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9"/>
    </row>
    <row r="343" ht="15.75" customHeight="1">
      <c r="A343" s="43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44"/>
      <c r="U343" s="44"/>
      <c r="V343" s="44"/>
      <c r="W343" s="36"/>
      <c r="X343" s="36"/>
      <c r="Y343" s="44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7"/>
    </row>
    <row r="344" ht="15.75" customHeight="1">
      <c r="A344" s="45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46"/>
      <c r="U344" s="46"/>
      <c r="V344" s="46"/>
      <c r="W344" s="38"/>
      <c r="X344" s="38"/>
      <c r="Y344" s="46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9"/>
    </row>
    <row r="345" ht="15.75" customHeight="1">
      <c r="A345" s="43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44"/>
      <c r="U345" s="44"/>
      <c r="V345" s="44"/>
      <c r="W345" s="36"/>
      <c r="X345" s="36"/>
      <c r="Y345" s="44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7"/>
    </row>
    <row r="346" ht="15.75" customHeight="1">
      <c r="A346" s="45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46"/>
      <c r="U346" s="46"/>
      <c r="V346" s="46"/>
      <c r="W346" s="38"/>
      <c r="X346" s="38"/>
      <c r="Y346" s="46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9"/>
    </row>
    <row r="347" ht="15.75" customHeight="1">
      <c r="A347" s="43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44"/>
      <c r="U347" s="44"/>
      <c r="V347" s="44"/>
      <c r="W347" s="36"/>
      <c r="X347" s="36"/>
      <c r="Y347" s="44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7"/>
    </row>
    <row r="348" ht="15.75" customHeight="1">
      <c r="A348" s="45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46"/>
      <c r="U348" s="46"/>
      <c r="V348" s="46"/>
      <c r="W348" s="38"/>
      <c r="X348" s="38"/>
      <c r="Y348" s="46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9"/>
    </row>
    <row r="349" ht="15.75" customHeight="1">
      <c r="A349" s="43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44"/>
      <c r="U349" s="44"/>
      <c r="V349" s="44"/>
      <c r="W349" s="36"/>
      <c r="X349" s="36"/>
      <c r="Y349" s="44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7"/>
    </row>
    <row r="350" ht="15.75" customHeight="1">
      <c r="A350" s="45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46"/>
      <c r="U350" s="46"/>
      <c r="V350" s="46"/>
      <c r="W350" s="38"/>
      <c r="X350" s="38"/>
      <c r="Y350" s="46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9"/>
    </row>
    <row r="351" ht="15.75" customHeight="1">
      <c r="A351" s="43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44"/>
      <c r="U351" s="44"/>
      <c r="V351" s="44"/>
      <c r="W351" s="36"/>
      <c r="X351" s="36"/>
      <c r="Y351" s="44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7"/>
    </row>
    <row r="352" ht="15.75" customHeight="1">
      <c r="A352" s="45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46"/>
      <c r="U352" s="46"/>
      <c r="V352" s="46"/>
      <c r="W352" s="38"/>
      <c r="X352" s="38"/>
      <c r="Y352" s="46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9"/>
    </row>
    <row r="353" ht="15.75" customHeight="1">
      <c r="A353" s="43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44"/>
      <c r="U353" s="44"/>
      <c r="V353" s="44"/>
      <c r="W353" s="36"/>
      <c r="X353" s="36"/>
      <c r="Y353" s="44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7"/>
    </row>
    <row r="354" ht="15.75" customHeight="1">
      <c r="A354" s="45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46"/>
      <c r="U354" s="46"/>
      <c r="V354" s="46"/>
      <c r="W354" s="38"/>
      <c r="X354" s="38"/>
      <c r="Y354" s="46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9"/>
    </row>
    <row r="355" ht="15.75" customHeight="1">
      <c r="A355" s="43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44"/>
      <c r="U355" s="44"/>
      <c r="V355" s="44"/>
      <c r="W355" s="36"/>
      <c r="X355" s="36"/>
      <c r="Y355" s="44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7"/>
    </row>
    <row r="356" ht="15.75" customHeight="1">
      <c r="A356" s="45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46"/>
      <c r="U356" s="46"/>
      <c r="V356" s="46"/>
      <c r="W356" s="38"/>
      <c r="X356" s="38"/>
      <c r="Y356" s="46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9"/>
    </row>
    <row r="357" ht="15.75" customHeight="1">
      <c r="A357" s="43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44"/>
      <c r="U357" s="44"/>
      <c r="V357" s="44"/>
      <c r="W357" s="36"/>
      <c r="X357" s="36"/>
      <c r="Y357" s="44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7"/>
    </row>
    <row r="358" ht="15.75" customHeight="1">
      <c r="A358" s="45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46"/>
      <c r="U358" s="46"/>
      <c r="V358" s="46"/>
      <c r="W358" s="38"/>
      <c r="X358" s="38"/>
      <c r="Y358" s="46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9"/>
    </row>
    <row r="359" ht="15.75" customHeight="1">
      <c r="A359" s="43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44"/>
      <c r="U359" s="44"/>
      <c r="V359" s="44"/>
      <c r="W359" s="36"/>
      <c r="X359" s="36"/>
      <c r="Y359" s="44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7"/>
    </row>
    <row r="360" ht="15.75" customHeight="1">
      <c r="A360" s="45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46"/>
      <c r="U360" s="46"/>
      <c r="V360" s="46"/>
      <c r="W360" s="38"/>
      <c r="X360" s="38"/>
      <c r="Y360" s="46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9"/>
    </row>
    <row r="361" ht="15.75" customHeight="1">
      <c r="A361" s="43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44"/>
      <c r="U361" s="44"/>
      <c r="V361" s="44"/>
      <c r="W361" s="36"/>
      <c r="X361" s="36"/>
      <c r="Y361" s="44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7"/>
    </row>
    <row r="362" ht="15.75" customHeight="1">
      <c r="A362" s="45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46"/>
      <c r="U362" s="46"/>
      <c r="V362" s="46"/>
      <c r="W362" s="38"/>
      <c r="X362" s="38"/>
      <c r="Y362" s="46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9"/>
    </row>
    <row r="363" ht="15.75" customHeight="1">
      <c r="A363" s="43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44"/>
      <c r="U363" s="44"/>
      <c r="V363" s="44"/>
      <c r="W363" s="36"/>
      <c r="X363" s="36"/>
      <c r="Y363" s="44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7"/>
    </row>
    <row r="364" ht="15.75" customHeight="1">
      <c r="T364" s="47"/>
      <c r="U364" s="47"/>
      <c r="V364" s="47"/>
      <c r="Y364" s="47"/>
    </row>
    <row r="365" ht="15.75" customHeight="1">
      <c r="T365" s="47"/>
      <c r="U365" s="47"/>
      <c r="V365" s="47"/>
      <c r="Y365" s="47"/>
    </row>
    <row r="366" ht="15.75" customHeight="1">
      <c r="T366" s="47"/>
      <c r="U366" s="47"/>
      <c r="V366" s="47"/>
      <c r="Y366" s="47"/>
    </row>
    <row r="367" ht="15.75" customHeight="1">
      <c r="T367" s="47"/>
      <c r="U367" s="47"/>
      <c r="V367" s="47"/>
      <c r="Y367" s="47"/>
    </row>
    <row r="368" ht="15.75" customHeight="1">
      <c r="T368" s="47"/>
      <c r="U368" s="47"/>
      <c r="V368" s="47"/>
      <c r="Y368" s="47"/>
    </row>
    <row r="369" ht="15.75" customHeight="1">
      <c r="T369" s="47"/>
      <c r="U369" s="47"/>
      <c r="V369" s="47"/>
      <c r="Y369" s="47"/>
    </row>
    <row r="370" ht="15.75" customHeight="1">
      <c r="T370" s="47"/>
      <c r="U370" s="47"/>
      <c r="V370" s="47"/>
      <c r="Y370" s="47"/>
    </row>
    <row r="371" ht="15.75" customHeight="1">
      <c r="T371" s="47"/>
      <c r="U371" s="47"/>
      <c r="V371" s="47"/>
      <c r="Y371" s="47"/>
    </row>
    <row r="372" ht="15.75" customHeight="1">
      <c r="T372" s="47"/>
      <c r="U372" s="47"/>
      <c r="V372" s="47"/>
      <c r="Y372" s="47"/>
    </row>
    <row r="373" ht="15.75" customHeight="1">
      <c r="T373" s="47"/>
      <c r="U373" s="47"/>
      <c r="V373" s="47"/>
      <c r="Y373" s="47"/>
    </row>
    <row r="374" ht="15.75" customHeight="1">
      <c r="T374" s="47"/>
      <c r="U374" s="47"/>
      <c r="V374" s="47"/>
      <c r="Y374" s="47"/>
    </row>
    <row r="375" ht="15.75" customHeight="1">
      <c r="T375" s="47"/>
      <c r="U375" s="47"/>
      <c r="V375" s="47"/>
      <c r="Y375" s="47"/>
    </row>
    <row r="376" ht="15.75" customHeight="1">
      <c r="T376" s="47"/>
      <c r="U376" s="47"/>
      <c r="V376" s="47"/>
      <c r="Y376" s="47"/>
    </row>
    <row r="377" ht="15.75" customHeight="1">
      <c r="T377" s="47"/>
      <c r="U377" s="47"/>
      <c r="V377" s="47"/>
      <c r="Y377" s="47"/>
    </row>
    <row r="378" ht="15.75" customHeight="1">
      <c r="T378" s="47"/>
      <c r="U378" s="47"/>
      <c r="V378" s="47"/>
      <c r="Y378" s="47"/>
    </row>
    <row r="379" ht="15.75" customHeight="1">
      <c r="T379" s="47"/>
      <c r="U379" s="47"/>
      <c r="V379" s="47"/>
      <c r="Y379" s="47"/>
    </row>
    <row r="380" ht="15.75" customHeight="1">
      <c r="T380" s="47"/>
      <c r="U380" s="47"/>
      <c r="V380" s="47"/>
      <c r="Y380" s="47"/>
    </row>
    <row r="381" ht="15.75" customHeight="1">
      <c r="T381" s="47"/>
      <c r="U381" s="47"/>
      <c r="V381" s="47"/>
      <c r="Y381" s="47"/>
    </row>
    <row r="382" ht="15.75" customHeight="1">
      <c r="T382" s="47"/>
      <c r="U382" s="47"/>
      <c r="V382" s="47"/>
      <c r="Y382" s="47"/>
    </row>
    <row r="383" ht="15.75" customHeight="1">
      <c r="T383" s="47"/>
      <c r="U383" s="47"/>
      <c r="V383" s="47"/>
      <c r="Y383" s="47"/>
    </row>
    <row r="384" ht="15.75" customHeight="1">
      <c r="T384" s="47"/>
      <c r="U384" s="47"/>
      <c r="V384" s="47"/>
      <c r="Y384" s="47"/>
    </row>
    <row r="385" ht="15.75" customHeight="1">
      <c r="T385" s="47"/>
      <c r="U385" s="47"/>
      <c r="V385" s="47"/>
      <c r="Y385" s="47"/>
    </row>
    <row r="386" ht="15.75" customHeight="1">
      <c r="T386" s="47"/>
      <c r="U386" s="47"/>
      <c r="V386" s="47"/>
      <c r="Y386" s="47"/>
    </row>
    <row r="387" ht="15.75" customHeight="1">
      <c r="T387" s="47"/>
      <c r="U387" s="47"/>
      <c r="V387" s="47"/>
      <c r="Y387" s="47"/>
    </row>
    <row r="388" ht="15.75" customHeight="1">
      <c r="T388" s="47"/>
      <c r="U388" s="47"/>
      <c r="V388" s="47"/>
      <c r="Y388" s="47"/>
    </row>
    <row r="389" ht="15.75" customHeight="1">
      <c r="T389" s="47"/>
      <c r="U389" s="47"/>
      <c r="V389" s="47"/>
      <c r="Y389" s="47"/>
    </row>
    <row r="390" ht="15.75" customHeight="1">
      <c r="T390" s="47"/>
      <c r="U390" s="47"/>
      <c r="V390" s="47"/>
      <c r="Y390" s="47"/>
    </row>
    <row r="391" ht="15.75" customHeight="1">
      <c r="T391" s="47"/>
      <c r="U391" s="47"/>
      <c r="V391" s="47"/>
      <c r="Y391" s="47"/>
    </row>
    <row r="392" ht="15.75" customHeight="1">
      <c r="T392" s="47"/>
      <c r="U392" s="47"/>
      <c r="V392" s="47"/>
      <c r="Y392" s="47"/>
    </row>
    <row r="393" ht="15.75" customHeight="1">
      <c r="T393" s="47"/>
      <c r="U393" s="47"/>
      <c r="V393" s="47"/>
      <c r="Y393" s="47"/>
    </row>
    <row r="394" ht="15.75" customHeight="1">
      <c r="T394" s="47"/>
      <c r="U394" s="47"/>
      <c r="V394" s="47"/>
      <c r="Y394" s="47"/>
    </row>
    <row r="395" ht="15.75" customHeight="1">
      <c r="T395" s="47"/>
      <c r="U395" s="47"/>
      <c r="V395" s="47"/>
      <c r="Y395" s="47"/>
    </row>
    <row r="396" ht="15.75" customHeight="1">
      <c r="T396" s="47"/>
      <c r="U396" s="47"/>
      <c r="V396" s="47"/>
      <c r="Y396" s="47"/>
    </row>
    <row r="397" ht="15.75" customHeight="1">
      <c r="T397" s="47"/>
      <c r="U397" s="47"/>
      <c r="V397" s="47"/>
      <c r="Y397" s="47"/>
    </row>
    <row r="398" ht="15.75" customHeight="1">
      <c r="T398" s="47"/>
      <c r="U398" s="47"/>
      <c r="V398" s="47"/>
      <c r="Y398" s="47"/>
    </row>
    <row r="399" ht="15.75" customHeight="1">
      <c r="T399" s="47"/>
      <c r="U399" s="47"/>
      <c r="V399" s="47"/>
      <c r="Y399" s="47"/>
    </row>
    <row r="400" ht="15.75" customHeight="1">
      <c r="T400" s="47"/>
      <c r="U400" s="47"/>
      <c r="V400" s="47"/>
      <c r="Y400" s="47"/>
    </row>
    <row r="401" ht="15.75" customHeight="1">
      <c r="T401" s="47"/>
      <c r="U401" s="47"/>
      <c r="V401" s="47"/>
      <c r="Y401" s="47"/>
    </row>
    <row r="402" ht="15.75" customHeight="1">
      <c r="T402" s="47"/>
      <c r="U402" s="47"/>
      <c r="V402" s="47"/>
      <c r="Y402" s="47"/>
    </row>
    <row r="403" ht="15.75" customHeight="1">
      <c r="T403" s="47"/>
      <c r="U403" s="47"/>
      <c r="V403" s="47"/>
      <c r="Y403" s="47"/>
    </row>
    <row r="404" ht="15.75" customHeight="1">
      <c r="T404" s="47"/>
      <c r="U404" s="47"/>
      <c r="V404" s="47"/>
      <c r="Y404" s="47"/>
    </row>
    <row r="405" ht="15.75" customHeight="1">
      <c r="T405" s="47"/>
      <c r="U405" s="47"/>
      <c r="V405" s="47"/>
      <c r="Y405" s="47"/>
    </row>
    <row r="406" ht="15.75" customHeight="1">
      <c r="T406" s="47"/>
      <c r="U406" s="47"/>
      <c r="V406" s="47"/>
      <c r="Y406" s="47"/>
    </row>
    <row r="407" ht="15.75" customHeight="1">
      <c r="T407" s="47"/>
      <c r="U407" s="47"/>
      <c r="V407" s="47"/>
      <c r="Y407" s="47"/>
    </row>
    <row r="408" ht="15.75" customHeight="1">
      <c r="T408" s="47"/>
      <c r="U408" s="47"/>
      <c r="V408" s="47"/>
      <c r="Y408" s="47"/>
    </row>
    <row r="409" ht="15.75" customHeight="1">
      <c r="T409" s="47"/>
      <c r="U409" s="47"/>
      <c r="V409" s="47"/>
      <c r="Y409" s="47"/>
    </row>
    <row r="410" ht="15.75" customHeight="1">
      <c r="T410" s="47"/>
      <c r="U410" s="47"/>
      <c r="V410" s="47"/>
      <c r="Y410" s="47"/>
    </row>
    <row r="411" ht="15.75" customHeight="1">
      <c r="T411" s="47"/>
      <c r="U411" s="47"/>
      <c r="V411" s="47"/>
      <c r="Y411" s="47"/>
    </row>
    <row r="412" ht="15.75" customHeight="1">
      <c r="T412" s="47"/>
      <c r="U412" s="47"/>
      <c r="V412" s="47"/>
      <c r="Y412" s="47"/>
    </row>
    <row r="413" ht="15.75" customHeight="1">
      <c r="T413" s="47"/>
      <c r="U413" s="47"/>
      <c r="V413" s="47"/>
      <c r="Y413" s="47"/>
    </row>
    <row r="414" ht="15.75" customHeight="1">
      <c r="T414" s="47"/>
      <c r="U414" s="47"/>
      <c r="V414" s="47"/>
      <c r="Y414" s="47"/>
    </row>
    <row r="415" ht="15.75" customHeight="1">
      <c r="T415" s="47"/>
      <c r="U415" s="47"/>
      <c r="V415" s="47"/>
      <c r="Y415" s="47"/>
    </row>
    <row r="416" ht="15.75" customHeight="1">
      <c r="T416" s="47"/>
      <c r="U416" s="47"/>
      <c r="V416" s="47"/>
      <c r="Y416" s="47"/>
    </row>
    <row r="417" ht="15.75" customHeight="1">
      <c r="T417" s="47"/>
      <c r="U417" s="47"/>
      <c r="V417" s="47"/>
      <c r="Y417" s="47"/>
    </row>
    <row r="418" ht="15.75" customHeight="1">
      <c r="T418" s="47"/>
      <c r="U418" s="47"/>
      <c r="V418" s="47"/>
      <c r="Y418" s="47"/>
    </row>
    <row r="419" ht="15.75" customHeight="1">
      <c r="T419" s="47"/>
      <c r="U419" s="47"/>
      <c r="V419" s="47"/>
      <c r="Y419" s="47"/>
    </row>
    <row r="420" ht="15.75" customHeight="1">
      <c r="T420" s="47"/>
      <c r="U420" s="47"/>
      <c r="V420" s="47"/>
      <c r="Y420" s="47"/>
    </row>
    <row r="421" ht="15.75" customHeight="1">
      <c r="T421" s="47"/>
      <c r="U421" s="47"/>
      <c r="V421" s="47"/>
      <c r="Y421" s="47"/>
    </row>
    <row r="422" ht="15.75" customHeight="1">
      <c r="T422" s="47"/>
      <c r="U422" s="47"/>
      <c r="V422" s="47"/>
      <c r="Y422" s="47"/>
    </row>
    <row r="423" ht="15.75" customHeight="1">
      <c r="T423" s="47"/>
      <c r="U423" s="47"/>
      <c r="V423" s="47"/>
      <c r="Y423" s="47"/>
    </row>
    <row r="424" ht="15.75" customHeight="1">
      <c r="T424" s="47"/>
      <c r="U424" s="47"/>
      <c r="V424" s="47"/>
      <c r="Y424" s="47"/>
    </row>
    <row r="425" ht="15.75" customHeight="1">
      <c r="T425" s="47"/>
      <c r="U425" s="47"/>
      <c r="V425" s="47"/>
      <c r="Y425" s="47"/>
    </row>
    <row r="426" ht="15.75" customHeight="1">
      <c r="T426" s="47"/>
      <c r="U426" s="47"/>
      <c r="V426" s="47"/>
      <c r="Y426" s="47"/>
    </row>
    <row r="427" ht="15.75" customHeight="1">
      <c r="T427" s="47"/>
      <c r="U427" s="47"/>
      <c r="V427" s="47"/>
      <c r="Y427" s="47"/>
    </row>
    <row r="428" ht="15.75" customHeight="1">
      <c r="T428" s="47"/>
      <c r="U428" s="47"/>
      <c r="V428" s="47"/>
      <c r="Y428" s="47"/>
    </row>
    <row r="429" ht="15.75" customHeight="1">
      <c r="T429" s="47"/>
      <c r="U429" s="47"/>
      <c r="V429" s="47"/>
      <c r="Y429" s="47"/>
    </row>
    <row r="430" ht="15.75" customHeight="1">
      <c r="T430" s="47"/>
      <c r="U430" s="47"/>
      <c r="V430" s="47"/>
      <c r="Y430" s="47"/>
    </row>
    <row r="431" ht="15.75" customHeight="1">
      <c r="T431" s="47"/>
      <c r="U431" s="47"/>
      <c r="V431" s="47"/>
      <c r="Y431" s="47"/>
    </row>
    <row r="432" ht="15.75" customHeight="1">
      <c r="T432" s="47"/>
      <c r="U432" s="47"/>
      <c r="V432" s="47"/>
      <c r="Y432" s="47"/>
    </row>
    <row r="433" ht="15.75" customHeight="1">
      <c r="T433" s="47"/>
      <c r="U433" s="47"/>
      <c r="V433" s="47"/>
      <c r="Y433" s="47"/>
    </row>
    <row r="434" ht="15.75" customHeight="1">
      <c r="T434" s="47"/>
      <c r="U434" s="47"/>
      <c r="V434" s="47"/>
      <c r="Y434" s="47"/>
    </row>
    <row r="435" ht="15.75" customHeight="1">
      <c r="T435" s="47"/>
      <c r="U435" s="47"/>
      <c r="V435" s="47"/>
      <c r="Y435" s="47"/>
    </row>
    <row r="436" ht="15.75" customHeight="1">
      <c r="T436" s="47"/>
      <c r="U436" s="47"/>
      <c r="V436" s="47"/>
      <c r="Y436" s="47"/>
    </row>
    <row r="437" ht="15.75" customHeight="1">
      <c r="T437" s="47"/>
      <c r="U437" s="47"/>
      <c r="V437" s="47"/>
      <c r="Y437" s="47"/>
    </row>
    <row r="438" ht="15.75" customHeight="1">
      <c r="T438" s="47"/>
      <c r="U438" s="47"/>
      <c r="V438" s="47"/>
      <c r="Y438" s="47"/>
    </row>
    <row r="439" ht="15.75" customHeight="1">
      <c r="T439" s="47"/>
      <c r="U439" s="47"/>
      <c r="V439" s="47"/>
      <c r="Y439" s="47"/>
    </row>
    <row r="440" ht="15.75" customHeight="1">
      <c r="T440" s="47"/>
      <c r="U440" s="47"/>
      <c r="V440" s="47"/>
      <c r="Y440" s="47"/>
    </row>
    <row r="441" ht="15.75" customHeight="1">
      <c r="T441" s="47"/>
      <c r="U441" s="47"/>
      <c r="V441" s="47"/>
      <c r="Y441" s="47"/>
    </row>
    <row r="442" ht="15.75" customHeight="1">
      <c r="T442" s="47"/>
      <c r="U442" s="47"/>
      <c r="V442" s="47"/>
      <c r="Y442" s="47"/>
    </row>
    <row r="443" ht="15.75" customHeight="1">
      <c r="T443" s="47"/>
      <c r="U443" s="47"/>
      <c r="V443" s="47"/>
      <c r="Y443" s="47"/>
    </row>
    <row r="444" ht="15.75" customHeight="1">
      <c r="T444" s="47"/>
      <c r="U444" s="47"/>
      <c r="V444" s="47"/>
      <c r="Y444" s="47"/>
    </row>
    <row r="445" ht="15.75" customHeight="1">
      <c r="T445" s="47"/>
      <c r="U445" s="47"/>
      <c r="V445" s="47"/>
      <c r="Y445" s="47"/>
    </row>
    <row r="446" ht="15.75" customHeight="1">
      <c r="T446" s="47"/>
      <c r="U446" s="47"/>
      <c r="V446" s="47"/>
      <c r="Y446" s="47"/>
    </row>
    <row r="447" ht="15.75" customHeight="1">
      <c r="T447" s="47"/>
      <c r="U447" s="47"/>
      <c r="V447" s="47"/>
      <c r="Y447" s="47"/>
    </row>
    <row r="448" ht="15.75" customHeight="1">
      <c r="T448" s="47"/>
      <c r="U448" s="47"/>
      <c r="V448" s="47"/>
      <c r="Y448" s="47"/>
    </row>
    <row r="449" ht="15.75" customHeight="1">
      <c r="T449" s="47"/>
      <c r="U449" s="47"/>
      <c r="V449" s="47"/>
      <c r="Y449" s="47"/>
    </row>
    <row r="450" ht="15.75" customHeight="1">
      <c r="T450" s="47"/>
      <c r="U450" s="47"/>
      <c r="V450" s="47"/>
      <c r="Y450" s="47"/>
    </row>
    <row r="451" ht="15.75" customHeight="1">
      <c r="T451" s="47"/>
      <c r="U451" s="47"/>
      <c r="V451" s="47"/>
      <c r="Y451" s="47"/>
    </row>
    <row r="452" ht="15.75" customHeight="1">
      <c r="T452" s="47"/>
      <c r="U452" s="47"/>
      <c r="V452" s="47"/>
      <c r="Y452" s="47"/>
    </row>
    <row r="453" ht="15.75" customHeight="1">
      <c r="T453" s="47"/>
      <c r="U453" s="47"/>
      <c r="V453" s="47"/>
      <c r="Y453" s="47"/>
    </row>
    <row r="454" ht="15.75" customHeight="1">
      <c r="T454" s="47"/>
      <c r="U454" s="47"/>
      <c r="V454" s="47"/>
      <c r="Y454" s="47"/>
    </row>
    <row r="455" ht="15.75" customHeight="1">
      <c r="T455" s="47"/>
      <c r="U455" s="47"/>
      <c r="V455" s="47"/>
      <c r="Y455" s="47"/>
    </row>
    <row r="456" ht="15.75" customHeight="1">
      <c r="T456" s="47"/>
      <c r="U456" s="47"/>
      <c r="V456" s="47"/>
      <c r="Y456" s="47"/>
    </row>
    <row r="457" ht="15.75" customHeight="1">
      <c r="T457" s="47"/>
      <c r="U457" s="47"/>
      <c r="V457" s="47"/>
      <c r="Y457" s="47"/>
    </row>
    <row r="458" ht="15.75" customHeight="1">
      <c r="T458" s="47"/>
      <c r="U458" s="47"/>
      <c r="V458" s="47"/>
      <c r="Y458" s="47"/>
    </row>
    <row r="459" ht="15.75" customHeight="1">
      <c r="T459" s="47"/>
      <c r="U459" s="47"/>
      <c r="V459" s="47"/>
      <c r="Y459" s="47"/>
    </row>
    <row r="460" ht="15.75" customHeight="1">
      <c r="T460" s="47"/>
      <c r="U460" s="47"/>
      <c r="V460" s="47"/>
      <c r="Y460" s="47"/>
    </row>
    <row r="461" ht="15.75" customHeight="1">
      <c r="T461" s="47"/>
      <c r="U461" s="47"/>
      <c r="V461" s="47"/>
      <c r="Y461" s="47"/>
    </row>
    <row r="462" ht="15.75" customHeight="1">
      <c r="T462" s="47"/>
      <c r="U462" s="47"/>
      <c r="V462" s="47"/>
      <c r="Y462" s="47"/>
    </row>
    <row r="463" ht="15.75" customHeight="1">
      <c r="T463" s="47"/>
      <c r="U463" s="47"/>
      <c r="V463" s="47"/>
      <c r="Y463" s="47"/>
    </row>
    <row r="464" ht="15.75" customHeight="1">
      <c r="T464" s="47"/>
      <c r="U464" s="47"/>
      <c r="V464" s="47"/>
      <c r="Y464" s="47"/>
    </row>
    <row r="465" ht="15.75" customHeight="1">
      <c r="T465" s="47"/>
      <c r="U465" s="47"/>
      <c r="V465" s="47"/>
      <c r="Y465" s="47"/>
    </row>
    <row r="466" ht="15.75" customHeight="1">
      <c r="T466" s="47"/>
      <c r="U466" s="47"/>
      <c r="V466" s="47"/>
      <c r="Y466" s="47"/>
    </row>
    <row r="467" ht="15.75" customHeight="1">
      <c r="T467" s="47"/>
      <c r="U467" s="47"/>
      <c r="V467" s="47"/>
      <c r="Y467" s="47"/>
    </row>
    <row r="468" ht="15.75" customHeight="1">
      <c r="T468" s="47"/>
      <c r="U468" s="47"/>
      <c r="V468" s="47"/>
      <c r="Y468" s="47"/>
    </row>
    <row r="469" ht="15.75" customHeight="1">
      <c r="T469" s="47"/>
      <c r="U469" s="47"/>
      <c r="V469" s="47"/>
      <c r="Y469" s="47"/>
    </row>
    <row r="470" ht="15.75" customHeight="1">
      <c r="T470" s="47"/>
      <c r="U470" s="47"/>
      <c r="V470" s="47"/>
      <c r="Y470" s="47"/>
    </row>
    <row r="471" ht="15.75" customHeight="1">
      <c r="T471" s="47"/>
      <c r="U471" s="47"/>
      <c r="V471" s="47"/>
      <c r="Y471" s="47"/>
    </row>
    <row r="472" ht="15.75" customHeight="1">
      <c r="T472" s="47"/>
      <c r="U472" s="47"/>
      <c r="V472" s="47"/>
      <c r="Y472" s="47"/>
    </row>
    <row r="473" ht="15.75" customHeight="1">
      <c r="T473" s="47"/>
      <c r="U473" s="47"/>
      <c r="V473" s="47"/>
      <c r="Y473" s="47"/>
    </row>
    <row r="474" ht="15.75" customHeight="1">
      <c r="T474" s="47"/>
      <c r="U474" s="47"/>
      <c r="V474" s="47"/>
      <c r="Y474" s="47"/>
    </row>
    <row r="475" ht="15.75" customHeight="1">
      <c r="T475" s="47"/>
      <c r="U475" s="47"/>
      <c r="V475" s="47"/>
      <c r="Y475" s="47"/>
    </row>
    <row r="476" ht="15.75" customHeight="1">
      <c r="T476" s="47"/>
      <c r="U476" s="47"/>
      <c r="V476" s="47"/>
      <c r="Y476" s="47"/>
    </row>
    <row r="477" ht="15.75" customHeight="1">
      <c r="T477" s="47"/>
      <c r="U477" s="47"/>
      <c r="V477" s="47"/>
      <c r="Y477" s="47"/>
    </row>
    <row r="478" ht="15.75" customHeight="1">
      <c r="T478" s="47"/>
      <c r="U478" s="47"/>
      <c r="V478" s="47"/>
      <c r="Y478" s="47"/>
    </row>
    <row r="479" ht="15.75" customHeight="1">
      <c r="T479" s="47"/>
      <c r="U479" s="47"/>
      <c r="V479" s="47"/>
      <c r="Y479" s="47"/>
    </row>
    <row r="480" ht="15.75" customHeight="1">
      <c r="T480" s="47"/>
      <c r="U480" s="47"/>
      <c r="V480" s="47"/>
      <c r="Y480" s="47"/>
    </row>
    <row r="481" ht="15.75" customHeight="1">
      <c r="T481" s="47"/>
      <c r="U481" s="47"/>
      <c r="V481" s="47"/>
      <c r="Y481" s="47"/>
    </row>
    <row r="482" ht="15.75" customHeight="1">
      <c r="T482" s="47"/>
      <c r="U482" s="47"/>
      <c r="V482" s="47"/>
      <c r="Y482" s="47"/>
    </row>
    <row r="483" ht="15.75" customHeight="1">
      <c r="T483" s="47"/>
      <c r="U483" s="47"/>
      <c r="V483" s="47"/>
      <c r="Y483" s="47"/>
    </row>
    <row r="484" ht="15.75" customHeight="1">
      <c r="T484" s="47"/>
      <c r="U484" s="47"/>
      <c r="V484" s="47"/>
      <c r="Y484" s="47"/>
    </row>
    <row r="485" ht="15.75" customHeight="1">
      <c r="T485" s="47"/>
      <c r="U485" s="47"/>
      <c r="V485" s="47"/>
      <c r="Y485" s="47"/>
    </row>
    <row r="486" ht="15.75" customHeight="1">
      <c r="T486" s="47"/>
      <c r="U486" s="47"/>
      <c r="V486" s="47"/>
      <c r="Y486" s="47"/>
    </row>
    <row r="487" ht="15.75" customHeight="1">
      <c r="T487" s="47"/>
      <c r="U487" s="47"/>
      <c r="V487" s="47"/>
      <c r="Y487" s="47"/>
    </row>
    <row r="488" ht="15.75" customHeight="1">
      <c r="T488" s="47"/>
      <c r="U488" s="47"/>
      <c r="V488" s="47"/>
      <c r="Y488" s="47"/>
    </row>
    <row r="489" ht="15.75" customHeight="1">
      <c r="T489" s="47"/>
      <c r="U489" s="47"/>
      <c r="V489" s="47"/>
      <c r="Y489" s="47"/>
    </row>
    <row r="490" ht="15.75" customHeight="1">
      <c r="T490" s="47"/>
      <c r="U490" s="47"/>
      <c r="V490" s="47"/>
      <c r="Y490" s="47"/>
    </row>
    <row r="491" ht="15.75" customHeight="1">
      <c r="T491" s="47"/>
      <c r="U491" s="47"/>
      <c r="V491" s="47"/>
      <c r="Y491" s="47"/>
    </row>
    <row r="492" ht="15.75" customHeight="1">
      <c r="T492" s="47"/>
      <c r="U492" s="47"/>
      <c r="V492" s="47"/>
      <c r="Y492" s="47"/>
    </row>
    <row r="493" ht="15.75" customHeight="1">
      <c r="T493" s="47"/>
      <c r="U493" s="47"/>
      <c r="V493" s="47"/>
      <c r="Y493" s="47"/>
    </row>
    <row r="494" ht="15.75" customHeight="1">
      <c r="T494" s="47"/>
      <c r="U494" s="47"/>
      <c r="V494" s="47"/>
      <c r="Y494" s="47"/>
    </row>
    <row r="495" ht="15.75" customHeight="1">
      <c r="T495" s="47"/>
      <c r="U495" s="47"/>
      <c r="V495" s="47"/>
      <c r="Y495" s="47"/>
    </row>
    <row r="496" ht="15.75" customHeight="1">
      <c r="T496" s="47"/>
      <c r="U496" s="47"/>
      <c r="V496" s="47"/>
      <c r="Y496" s="47"/>
    </row>
    <row r="497" ht="15.75" customHeight="1">
      <c r="T497" s="47"/>
      <c r="U497" s="47"/>
      <c r="V497" s="47"/>
      <c r="Y497" s="47"/>
    </row>
    <row r="498" ht="15.75" customHeight="1">
      <c r="T498" s="47"/>
      <c r="U498" s="47"/>
      <c r="V498" s="47"/>
      <c r="Y498" s="47"/>
    </row>
    <row r="499" ht="15.75" customHeight="1">
      <c r="T499" s="47"/>
      <c r="U499" s="47"/>
      <c r="V499" s="47"/>
      <c r="Y499" s="47"/>
    </row>
    <row r="500" ht="15.75" customHeight="1">
      <c r="T500" s="47"/>
      <c r="U500" s="47"/>
      <c r="V500" s="47"/>
      <c r="Y500" s="47"/>
    </row>
    <row r="501" ht="15.75" customHeight="1">
      <c r="T501" s="47"/>
      <c r="U501" s="47"/>
      <c r="V501" s="47"/>
      <c r="Y501" s="47"/>
    </row>
    <row r="502" ht="15.75" customHeight="1">
      <c r="T502" s="47"/>
      <c r="U502" s="47"/>
      <c r="V502" s="47"/>
      <c r="Y502" s="47"/>
    </row>
    <row r="503" ht="15.75" customHeight="1">
      <c r="T503" s="47"/>
      <c r="U503" s="47"/>
      <c r="V503" s="47"/>
      <c r="Y503" s="47"/>
    </row>
    <row r="504" ht="15.75" customHeight="1">
      <c r="T504" s="47"/>
      <c r="U504" s="47"/>
      <c r="V504" s="47"/>
      <c r="Y504" s="47"/>
    </row>
    <row r="505" ht="15.75" customHeight="1">
      <c r="T505" s="47"/>
      <c r="U505" s="47"/>
      <c r="V505" s="47"/>
      <c r="Y505" s="47"/>
    </row>
    <row r="506" ht="15.75" customHeight="1">
      <c r="T506" s="47"/>
      <c r="U506" s="47"/>
      <c r="V506" s="47"/>
      <c r="Y506" s="47"/>
    </row>
    <row r="507" ht="15.75" customHeight="1">
      <c r="T507" s="47"/>
      <c r="U507" s="47"/>
      <c r="V507" s="47"/>
      <c r="Y507" s="47"/>
    </row>
    <row r="508" ht="15.75" customHeight="1">
      <c r="T508" s="47"/>
      <c r="U508" s="47"/>
      <c r="V508" s="47"/>
      <c r="Y508" s="47"/>
    </row>
    <row r="509" ht="15.75" customHeight="1">
      <c r="T509" s="47"/>
      <c r="U509" s="47"/>
      <c r="V509" s="47"/>
      <c r="Y509" s="47"/>
    </row>
    <row r="510" ht="15.75" customHeight="1">
      <c r="T510" s="47"/>
      <c r="U510" s="47"/>
      <c r="V510" s="47"/>
      <c r="Y510" s="47"/>
    </row>
    <row r="511" ht="15.75" customHeight="1">
      <c r="T511" s="47"/>
      <c r="U511" s="47"/>
      <c r="V511" s="47"/>
      <c r="Y511" s="47"/>
    </row>
    <row r="512" ht="15.75" customHeight="1">
      <c r="T512" s="47"/>
      <c r="U512" s="47"/>
      <c r="V512" s="47"/>
      <c r="Y512" s="47"/>
    </row>
    <row r="513" ht="15.75" customHeight="1">
      <c r="T513" s="47"/>
      <c r="U513" s="47"/>
      <c r="V513" s="47"/>
      <c r="Y513" s="47"/>
    </row>
    <row r="514" ht="15.75" customHeight="1">
      <c r="T514" s="47"/>
      <c r="U514" s="47"/>
      <c r="V514" s="47"/>
      <c r="Y514" s="47"/>
    </row>
    <row r="515" ht="15.75" customHeight="1">
      <c r="T515" s="47"/>
      <c r="U515" s="47"/>
      <c r="V515" s="47"/>
      <c r="Y515" s="47"/>
    </row>
    <row r="516" ht="15.75" customHeight="1">
      <c r="T516" s="47"/>
      <c r="U516" s="47"/>
      <c r="V516" s="47"/>
      <c r="Y516" s="47"/>
    </row>
    <row r="517" ht="15.75" customHeight="1">
      <c r="T517" s="47"/>
      <c r="U517" s="47"/>
      <c r="V517" s="47"/>
      <c r="Y517" s="47"/>
    </row>
    <row r="518" ht="15.75" customHeight="1">
      <c r="T518" s="47"/>
      <c r="U518" s="47"/>
      <c r="V518" s="47"/>
      <c r="Y518" s="47"/>
    </row>
    <row r="519" ht="15.75" customHeight="1">
      <c r="T519" s="47"/>
      <c r="U519" s="47"/>
      <c r="V519" s="47"/>
      <c r="Y519" s="47"/>
    </row>
    <row r="520" ht="15.75" customHeight="1">
      <c r="T520" s="47"/>
      <c r="U520" s="47"/>
      <c r="V520" s="47"/>
      <c r="Y520" s="47"/>
    </row>
    <row r="521" ht="15.75" customHeight="1">
      <c r="T521" s="47"/>
      <c r="U521" s="47"/>
      <c r="V521" s="47"/>
      <c r="Y521" s="47"/>
    </row>
    <row r="522" ht="15.75" customHeight="1">
      <c r="T522" s="47"/>
      <c r="U522" s="47"/>
      <c r="V522" s="47"/>
      <c r="Y522" s="47"/>
    </row>
    <row r="523" ht="15.75" customHeight="1">
      <c r="T523" s="47"/>
      <c r="U523" s="47"/>
      <c r="V523" s="47"/>
      <c r="Y523" s="47"/>
    </row>
    <row r="524" ht="15.75" customHeight="1">
      <c r="T524" s="47"/>
      <c r="U524" s="47"/>
      <c r="V524" s="47"/>
      <c r="Y524" s="47"/>
    </row>
    <row r="525" ht="15.75" customHeight="1">
      <c r="T525" s="47"/>
      <c r="U525" s="47"/>
      <c r="V525" s="47"/>
      <c r="Y525" s="47"/>
    </row>
    <row r="526" ht="15.75" customHeight="1">
      <c r="T526" s="47"/>
      <c r="U526" s="47"/>
      <c r="V526" s="47"/>
      <c r="Y526" s="47"/>
    </row>
    <row r="527" ht="15.75" customHeight="1">
      <c r="T527" s="47"/>
      <c r="U527" s="47"/>
      <c r="V527" s="47"/>
      <c r="Y527" s="47"/>
    </row>
    <row r="528" ht="15.75" customHeight="1">
      <c r="T528" s="47"/>
      <c r="U528" s="47"/>
      <c r="V528" s="47"/>
      <c r="Y528" s="47"/>
    </row>
    <row r="529" ht="15.75" customHeight="1">
      <c r="T529" s="47"/>
      <c r="U529" s="47"/>
      <c r="V529" s="47"/>
      <c r="Y529" s="47"/>
    </row>
    <row r="530" ht="15.75" customHeight="1">
      <c r="T530" s="47"/>
      <c r="U530" s="47"/>
      <c r="V530" s="47"/>
      <c r="Y530" s="47"/>
    </row>
    <row r="531" ht="15.75" customHeight="1">
      <c r="T531" s="47"/>
      <c r="U531" s="47"/>
      <c r="V531" s="47"/>
      <c r="Y531" s="47"/>
    </row>
    <row r="532" ht="15.75" customHeight="1">
      <c r="T532" s="47"/>
      <c r="U532" s="47"/>
      <c r="V532" s="47"/>
      <c r="Y532" s="47"/>
    </row>
    <row r="533" ht="15.75" customHeight="1">
      <c r="T533" s="47"/>
      <c r="U533" s="47"/>
      <c r="V533" s="47"/>
      <c r="Y533" s="47"/>
    </row>
    <row r="534" ht="15.75" customHeight="1">
      <c r="T534" s="47"/>
      <c r="U534" s="47"/>
      <c r="V534" s="47"/>
      <c r="Y534" s="47"/>
    </row>
    <row r="535" ht="15.75" customHeight="1">
      <c r="T535" s="47"/>
      <c r="U535" s="47"/>
      <c r="V535" s="47"/>
      <c r="Y535" s="47"/>
    </row>
    <row r="536" ht="15.75" customHeight="1">
      <c r="T536" s="47"/>
      <c r="U536" s="47"/>
      <c r="V536" s="47"/>
      <c r="Y536" s="47"/>
    </row>
    <row r="537" ht="15.75" customHeight="1">
      <c r="T537" s="47"/>
      <c r="U537" s="47"/>
      <c r="V537" s="47"/>
      <c r="Y537" s="47"/>
    </row>
    <row r="538" ht="15.75" customHeight="1">
      <c r="T538" s="47"/>
      <c r="U538" s="47"/>
      <c r="V538" s="47"/>
      <c r="Y538" s="47"/>
    </row>
    <row r="539" ht="15.75" customHeight="1">
      <c r="T539" s="47"/>
      <c r="U539" s="47"/>
      <c r="V539" s="47"/>
      <c r="Y539" s="47"/>
    </row>
    <row r="540" ht="15.75" customHeight="1">
      <c r="T540" s="47"/>
      <c r="U540" s="47"/>
      <c r="V540" s="47"/>
      <c r="Y540" s="47"/>
    </row>
    <row r="541" ht="15.75" customHeight="1">
      <c r="T541" s="47"/>
      <c r="U541" s="47"/>
      <c r="V541" s="47"/>
      <c r="Y541" s="47"/>
    </row>
    <row r="542" ht="15.75" customHeight="1">
      <c r="T542" s="47"/>
      <c r="U542" s="47"/>
      <c r="V542" s="47"/>
      <c r="Y542" s="47"/>
    </row>
    <row r="543" ht="15.75" customHeight="1">
      <c r="T543" s="47"/>
      <c r="U543" s="47"/>
      <c r="V543" s="47"/>
      <c r="Y543" s="47"/>
    </row>
    <row r="544" ht="15.75" customHeight="1">
      <c r="T544" s="47"/>
      <c r="U544" s="47"/>
      <c r="V544" s="47"/>
      <c r="Y544" s="47"/>
    </row>
    <row r="545" ht="15.75" customHeight="1">
      <c r="T545" s="47"/>
      <c r="U545" s="47"/>
      <c r="V545" s="47"/>
      <c r="Y545" s="47"/>
    </row>
    <row r="546" ht="15.75" customHeight="1">
      <c r="T546" s="47"/>
      <c r="U546" s="47"/>
      <c r="V546" s="47"/>
      <c r="Y546" s="47"/>
    </row>
    <row r="547" ht="15.75" customHeight="1">
      <c r="T547" s="47"/>
      <c r="U547" s="47"/>
      <c r="V547" s="47"/>
      <c r="Y547" s="47"/>
    </row>
    <row r="548" ht="15.75" customHeight="1">
      <c r="T548" s="47"/>
      <c r="U548" s="47"/>
      <c r="V548" s="47"/>
      <c r="Y548" s="47"/>
    </row>
    <row r="549" ht="15.75" customHeight="1">
      <c r="T549" s="47"/>
      <c r="U549" s="47"/>
      <c r="V549" s="47"/>
      <c r="Y549" s="47"/>
    </row>
    <row r="550" ht="15.75" customHeight="1">
      <c r="T550" s="47"/>
      <c r="U550" s="47"/>
      <c r="V550" s="47"/>
      <c r="Y550" s="47"/>
    </row>
    <row r="551" ht="15.75" customHeight="1">
      <c r="T551" s="47"/>
      <c r="U551" s="47"/>
      <c r="V551" s="47"/>
      <c r="Y551" s="47"/>
    </row>
    <row r="552" ht="15.75" customHeight="1">
      <c r="T552" s="47"/>
      <c r="U552" s="47"/>
      <c r="V552" s="47"/>
      <c r="Y552" s="47"/>
    </row>
    <row r="553" ht="15.75" customHeight="1">
      <c r="T553" s="47"/>
      <c r="U553" s="47"/>
      <c r="V553" s="47"/>
      <c r="Y553" s="47"/>
    </row>
    <row r="554" ht="15.75" customHeight="1">
      <c r="T554" s="47"/>
      <c r="U554" s="47"/>
      <c r="V554" s="47"/>
      <c r="Y554" s="47"/>
    </row>
    <row r="555" ht="15.75" customHeight="1">
      <c r="T555" s="47"/>
      <c r="U555" s="47"/>
      <c r="V555" s="47"/>
      <c r="Y555" s="47"/>
    </row>
    <row r="556" ht="15.75" customHeight="1">
      <c r="T556" s="47"/>
      <c r="U556" s="47"/>
      <c r="V556" s="47"/>
      <c r="Y556" s="47"/>
    </row>
    <row r="557" ht="15.75" customHeight="1">
      <c r="T557" s="47"/>
      <c r="U557" s="47"/>
      <c r="V557" s="47"/>
      <c r="Y557" s="47"/>
    </row>
    <row r="558" ht="15.75" customHeight="1">
      <c r="T558" s="47"/>
      <c r="U558" s="47"/>
      <c r="V558" s="47"/>
      <c r="Y558" s="47"/>
    </row>
    <row r="559" ht="15.75" customHeight="1">
      <c r="T559" s="47"/>
      <c r="U559" s="47"/>
      <c r="V559" s="47"/>
      <c r="Y559" s="47"/>
    </row>
    <row r="560" ht="15.75" customHeight="1">
      <c r="T560" s="47"/>
      <c r="U560" s="47"/>
      <c r="V560" s="47"/>
      <c r="Y560" s="47"/>
    </row>
    <row r="561" ht="15.75" customHeight="1">
      <c r="T561" s="47"/>
      <c r="U561" s="47"/>
      <c r="V561" s="47"/>
      <c r="Y561" s="47"/>
    </row>
    <row r="562" ht="15.75" customHeight="1">
      <c r="T562" s="47"/>
      <c r="U562" s="47"/>
      <c r="V562" s="47"/>
      <c r="Y562" s="47"/>
    </row>
    <row r="563" ht="15.75" customHeight="1">
      <c r="T563" s="47"/>
      <c r="U563" s="47"/>
      <c r="V563" s="47"/>
      <c r="Y563" s="47"/>
    </row>
    <row r="564" ht="15.75" customHeight="1">
      <c r="T564" s="47"/>
      <c r="U564" s="47"/>
      <c r="V564" s="47"/>
      <c r="Y564" s="47"/>
    </row>
    <row r="565" ht="15.75" customHeight="1">
      <c r="T565" s="47"/>
      <c r="U565" s="47"/>
      <c r="V565" s="47"/>
      <c r="Y565" s="47"/>
    </row>
    <row r="566" ht="15.75" customHeight="1">
      <c r="T566" s="47"/>
      <c r="U566" s="47"/>
      <c r="V566" s="47"/>
      <c r="Y566" s="47"/>
    </row>
    <row r="567" ht="15.75" customHeight="1">
      <c r="T567" s="47"/>
      <c r="U567" s="47"/>
      <c r="V567" s="47"/>
      <c r="Y567" s="47"/>
    </row>
    <row r="568" ht="15.75" customHeight="1">
      <c r="T568" s="47"/>
      <c r="U568" s="47"/>
      <c r="V568" s="47"/>
      <c r="Y568" s="47"/>
    </row>
    <row r="569" ht="15.75" customHeight="1">
      <c r="T569" s="47"/>
      <c r="U569" s="47"/>
      <c r="V569" s="47"/>
      <c r="Y569" s="47"/>
    </row>
    <row r="570" ht="15.75" customHeight="1">
      <c r="T570" s="47"/>
      <c r="U570" s="47"/>
      <c r="V570" s="47"/>
      <c r="Y570" s="47"/>
    </row>
    <row r="571" ht="15.75" customHeight="1">
      <c r="T571" s="47"/>
      <c r="U571" s="47"/>
      <c r="V571" s="47"/>
      <c r="Y571" s="47"/>
    </row>
    <row r="572" ht="15.75" customHeight="1">
      <c r="T572" s="47"/>
      <c r="U572" s="47"/>
      <c r="V572" s="47"/>
      <c r="Y572" s="47"/>
    </row>
    <row r="573" ht="15.75" customHeight="1">
      <c r="T573" s="47"/>
      <c r="U573" s="47"/>
      <c r="V573" s="47"/>
      <c r="Y573" s="47"/>
    </row>
    <row r="574" ht="15.75" customHeight="1">
      <c r="T574" s="47"/>
      <c r="U574" s="47"/>
      <c r="V574" s="47"/>
      <c r="Y574" s="47"/>
    </row>
    <row r="575" ht="15.75" customHeight="1">
      <c r="T575" s="47"/>
      <c r="U575" s="47"/>
      <c r="V575" s="47"/>
      <c r="Y575" s="47"/>
    </row>
    <row r="576" ht="15.75" customHeight="1">
      <c r="T576" s="47"/>
      <c r="U576" s="47"/>
      <c r="V576" s="47"/>
      <c r="Y576" s="47"/>
    </row>
    <row r="577" ht="15.75" customHeight="1">
      <c r="T577" s="47"/>
      <c r="U577" s="47"/>
      <c r="V577" s="47"/>
      <c r="Y577" s="47"/>
    </row>
    <row r="578" ht="15.75" customHeight="1">
      <c r="T578" s="47"/>
      <c r="U578" s="47"/>
      <c r="V578" s="47"/>
      <c r="Y578" s="47"/>
    </row>
    <row r="579" ht="15.75" customHeight="1">
      <c r="T579" s="47"/>
      <c r="U579" s="47"/>
      <c r="V579" s="47"/>
      <c r="Y579" s="47"/>
    </row>
    <row r="580" ht="15.75" customHeight="1">
      <c r="T580" s="47"/>
      <c r="U580" s="47"/>
      <c r="V580" s="47"/>
      <c r="Y580" s="47"/>
    </row>
    <row r="581" ht="15.75" customHeight="1">
      <c r="T581" s="47"/>
      <c r="U581" s="47"/>
      <c r="V581" s="47"/>
      <c r="Y581" s="47"/>
    </row>
    <row r="582" ht="15.75" customHeight="1">
      <c r="T582" s="47"/>
      <c r="U582" s="47"/>
      <c r="V582" s="47"/>
      <c r="Y582" s="47"/>
    </row>
    <row r="583" ht="15.75" customHeight="1">
      <c r="T583" s="47"/>
      <c r="U583" s="47"/>
      <c r="V583" s="47"/>
      <c r="Y583" s="47"/>
    </row>
    <row r="584" ht="15.75" customHeight="1">
      <c r="T584" s="47"/>
      <c r="U584" s="47"/>
      <c r="V584" s="47"/>
      <c r="Y584" s="47"/>
    </row>
    <row r="585" ht="15.75" customHeight="1">
      <c r="T585" s="47"/>
      <c r="U585" s="47"/>
      <c r="V585" s="47"/>
      <c r="Y585" s="47"/>
    </row>
    <row r="586" ht="15.75" customHeight="1">
      <c r="T586" s="47"/>
      <c r="U586" s="47"/>
      <c r="V586" s="47"/>
      <c r="Y586" s="47"/>
    </row>
    <row r="587" ht="15.75" customHeight="1">
      <c r="T587" s="47"/>
      <c r="U587" s="47"/>
      <c r="V587" s="47"/>
      <c r="Y587" s="47"/>
    </row>
    <row r="588" ht="15.75" customHeight="1">
      <c r="T588" s="47"/>
      <c r="U588" s="47"/>
      <c r="V588" s="47"/>
      <c r="Y588" s="47"/>
    </row>
    <row r="589" ht="15.75" customHeight="1">
      <c r="T589" s="47"/>
      <c r="U589" s="47"/>
      <c r="V589" s="47"/>
      <c r="Y589" s="47"/>
    </row>
    <row r="590" ht="15.75" customHeight="1">
      <c r="T590" s="47"/>
      <c r="U590" s="47"/>
      <c r="V590" s="47"/>
      <c r="Y590" s="47"/>
    </row>
    <row r="591" ht="15.75" customHeight="1">
      <c r="T591" s="47"/>
      <c r="U591" s="47"/>
      <c r="V591" s="47"/>
      <c r="Y591" s="47"/>
    </row>
    <row r="592" ht="15.75" customHeight="1">
      <c r="T592" s="47"/>
      <c r="U592" s="47"/>
      <c r="V592" s="47"/>
      <c r="Y592" s="47"/>
    </row>
    <row r="593" ht="15.75" customHeight="1">
      <c r="T593" s="47"/>
      <c r="U593" s="47"/>
      <c r="V593" s="47"/>
      <c r="Y593" s="47"/>
    </row>
    <row r="594" ht="15.75" customHeight="1">
      <c r="T594" s="47"/>
      <c r="U594" s="47"/>
      <c r="V594" s="47"/>
      <c r="Y594" s="47"/>
    </row>
    <row r="595" ht="15.75" customHeight="1">
      <c r="T595" s="47"/>
      <c r="U595" s="47"/>
      <c r="V595" s="47"/>
      <c r="Y595" s="47"/>
    </row>
    <row r="596" ht="15.75" customHeight="1">
      <c r="T596" s="47"/>
      <c r="U596" s="47"/>
      <c r="V596" s="47"/>
      <c r="Y596" s="47"/>
    </row>
    <row r="597" ht="15.75" customHeight="1">
      <c r="T597" s="47"/>
      <c r="U597" s="47"/>
      <c r="V597" s="47"/>
      <c r="Y597" s="47"/>
    </row>
    <row r="598" ht="15.75" customHeight="1">
      <c r="T598" s="47"/>
      <c r="U598" s="47"/>
      <c r="V598" s="47"/>
      <c r="Y598" s="47"/>
    </row>
    <row r="599" ht="15.75" customHeight="1">
      <c r="T599" s="47"/>
      <c r="U599" s="47"/>
      <c r="V599" s="47"/>
      <c r="Y599" s="47"/>
    </row>
    <row r="600" ht="15.75" customHeight="1">
      <c r="T600" s="47"/>
      <c r="U600" s="47"/>
      <c r="V600" s="47"/>
      <c r="Y600" s="47"/>
    </row>
    <row r="601" ht="15.75" customHeight="1">
      <c r="T601" s="47"/>
      <c r="U601" s="47"/>
      <c r="V601" s="47"/>
      <c r="Y601" s="47"/>
    </row>
    <row r="602" ht="15.75" customHeight="1">
      <c r="T602" s="47"/>
      <c r="U602" s="47"/>
      <c r="V602" s="47"/>
      <c r="Y602" s="47"/>
    </row>
    <row r="603" ht="15.75" customHeight="1">
      <c r="T603" s="47"/>
      <c r="U603" s="47"/>
      <c r="V603" s="47"/>
      <c r="Y603" s="47"/>
    </row>
    <row r="604" ht="15.75" customHeight="1">
      <c r="T604" s="47"/>
      <c r="U604" s="47"/>
      <c r="V604" s="47"/>
      <c r="Y604" s="47"/>
    </row>
    <row r="605" ht="15.75" customHeight="1">
      <c r="T605" s="47"/>
      <c r="U605" s="47"/>
      <c r="V605" s="47"/>
      <c r="Y605" s="47"/>
    </row>
    <row r="606" ht="15.75" customHeight="1">
      <c r="T606" s="47"/>
      <c r="U606" s="47"/>
      <c r="V606" s="47"/>
      <c r="Y606" s="47"/>
    </row>
    <row r="607" ht="15.75" customHeight="1">
      <c r="T607" s="47"/>
      <c r="U607" s="47"/>
      <c r="V607" s="47"/>
      <c r="Y607" s="47"/>
    </row>
    <row r="608" ht="15.75" customHeight="1">
      <c r="T608" s="47"/>
      <c r="U608" s="47"/>
      <c r="V608" s="47"/>
      <c r="Y608" s="47"/>
    </row>
    <row r="609" ht="15.75" customHeight="1">
      <c r="T609" s="47"/>
      <c r="U609" s="47"/>
      <c r="V609" s="47"/>
      <c r="Y609" s="47"/>
    </row>
    <row r="610" ht="15.75" customHeight="1">
      <c r="T610" s="47"/>
      <c r="U610" s="47"/>
      <c r="V610" s="47"/>
      <c r="Y610" s="47"/>
    </row>
    <row r="611" ht="15.75" customHeight="1">
      <c r="T611" s="47"/>
      <c r="U611" s="47"/>
      <c r="V611" s="47"/>
      <c r="Y611" s="47"/>
    </row>
    <row r="612" ht="15.75" customHeight="1">
      <c r="T612" s="47"/>
      <c r="U612" s="47"/>
      <c r="V612" s="47"/>
      <c r="Y612" s="47"/>
    </row>
    <row r="613" ht="15.75" customHeight="1">
      <c r="T613" s="47"/>
      <c r="U613" s="47"/>
      <c r="V613" s="47"/>
      <c r="Y613" s="47"/>
    </row>
    <row r="614" ht="15.75" customHeight="1">
      <c r="T614" s="47"/>
      <c r="U614" s="47"/>
      <c r="V614" s="47"/>
      <c r="Y614" s="47"/>
    </row>
    <row r="615" ht="15.75" customHeight="1">
      <c r="T615" s="47"/>
      <c r="U615" s="47"/>
      <c r="V615" s="47"/>
      <c r="Y615" s="47"/>
    </row>
    <row r="616" ht="15.75" customHeight="1">
      <c r="T616" s="47"/>
      <c r="U616" s="47"/>
      <c r="V616" s="47"/>
      <c r="Y616" s="47"/>
    </row>
    <row r="617" ht="15.75" customHeight="1">
      <c r="T617" s="47"/>
      <c r="U617" s="47"/>
      <c r="V617" s="47"/>
      <c r="Y617" s="47"/>
    </row>
    <row r="618" ht="15.75" customHeight="1">
      <c r="T618" s="47"/>
      <c r="U618" s="47"/>
      <c r="V618" s="47"/>
      <c r="Y618" s="47"/>
    </row>
    <row r="619" ht="15.75" customHeight="1">
      <c r="T619" s="47"/>
      <c r="U619" s="47"/>
      <c r="V619" s="47"/>
      <c r="Y619" s="47"/>
    </row>
    <row r="620" ht="15.75" customHeight="1">
      <c r="T620" s="47"/>
      <c r="U620" s="47"/>
      <c r="V620" s="47"/>
      <c r="Y620" s="47"/>
    </row>
    <row r="621" ht="15.75" customHeight="1">
      <c r="T621" s="47"/>
      <c r="U621" s="47"/>
      <c r="V621" s="47"/>
      <c r="Y621" s="47"/>
    </row>
    <row r="622" ht="15.75" customHeight="1">
      <c r="T622" s="47"/>
      <c r="U622" s="47"/>
      <c r="V622" s="47"/>
      <c r="Y622" s="47"/>
    </row>
    <row r="623" ht="15.75" customHeight="1">
      <c r="T623" s="47"/>
      <c r="U623" s="47"/>
      <c r="V623" s="47"/>
      <c r="Y623" s="47"/>
    </row>
    <row r="624" ht="15.75" customHeight="1">
      <c r="T624" s="47"/>
      <c r="U624" s="47"/>
      <c r="V624" s="47"/>
      <c r="Y624" s="47"/>
    </row>
    <row r="625" ht="15.75" customHeight="1">
      <c r="T625" s="47"/>
      <c r="U625" s="47"/>
      <c r="V625" s="47"/>
      <c r="Y625" s="47"/>
    </row>
    <row r="626" ht="15.75" customHeight="1">
      <c r="T626" s="47"/>
      <c r="U626" s="47"/>
      <c r="V626" s="47"/>
      <c r="Y626" s="47"/>
    </row>
    <row r="627" ht="15.75" customHeight="1">
      <c r="T627" s="47"/>
      <c r="U627" s="47"/>
      <c r="V627" s="47"/>
      <c r="Y627" s="47"/>
    </row>
    <row r="628" ht="15.75" customHeight="1">
      <c r="T628" s="47"/>
      <c r="U628" s="47"/>
      <c r="V628" s="47"/>
      <c r="Y628" s="47"/>
    </row>
    <row r="629" ht="15.75" customHeight="1">
      <c r="T629" s="47"/>
      <c r="U629" s="47"/>
      <c r="V629" s="47"/>
      <c r="Y629" s="47"/>
    </row>
    <row r="630" ht="15.75" customHeight="1">
      <c r="T630" s="47"/>
      <c r="U630" s="47"/>
      <c r="V630" s="47"/>
      <c r="Y630" s="47"/>
    </row>
    <row r="631" ht="15.75" customHeight="1">
      <c r="T631" s="47"/>
      <c r="U631" s="47"/>
      <c r="V631" s="47"/>
      <c r="Y631" s="47"/>
    </row>
    <row r="632" ht="15.75" customHeight="1">
      <c r="T632" s="47"/>
      <c r="U632" s="47"/>
      <c r="V632" s="47"/>
      <c r="Y632" s="47"/>
    </row>
    <row r="633" ht="15.75" customHeight="1">
      <c r="T633" s="47"/>
      <c r="U633" s="47"/>
      <c r="V633" s="47"/>
      <c r="Y633" s="47"/>
    </row>
    <row r="634" ht="15.75" customHeight="1">
      <c r="T634" s="47"/>
      <c r="U634" s="47"/>
      <c r="V634" s="47"/>
      <c r="Y634" s="47"/>
    </row>
    <row r="635" ht="15.75" customHeight="1">
      <c r="T635" s="47"/>
      <c r="U635" s="47"/>
      <c r="V635" s="47"/>
      <c r="Y635" s="47"/>
    </row>
    <row r="636" ht="15.75" customHeight="1">
      <c r="T636" s="47"/>
      <c r="U636" s="47"/>
      <c r="V636" s="47"/>
      <c r="Y636" s="47"/>
    </row>
    <row r="637" ht="15.75" customHeight="1">
      <c r="T637" s="47"/>
      <c r="U637" s="47"/>
      <c r="V637" s="47"/>
      <c r="Y637" s="47"/>
    </row>
    <row r="638" ht="15.75" customHeight="1">
      <c r="T638" s="47"/>
      <c r="U638" s="47"/>
      <c r="V638" s="47"/>
      <c r="Y638" s="47"/>
    </row>
    <row r="639" ht="15.75" customHeight="1">
      <c r="T639" s="47"/>
      <c r="U639" s="47"/>
      <c r="V639" s="47"/>
      <c r="Y639" s="47"/>
    </row>
    <row r="640" ht="15.75" customHeight="1">
      <c r="T640" s="47"/>
      <c r="U640" s="47"/>
      <c r="V640" s="47"/>
      <c r="Y640" s="47"/>
    </row>
    <row r="641" ht="15.75" customHeight="1">
      <c r="T641" s="47"/>
      <c r="U641" s="47"/>
      <c r="V641" s="47"/>
      <c r="Y641" s="47"/>
    </row>
    <row r="642" ht="15.75" customHeight="1">
      <c r="T642" s="47"/>
      <c r="U642" s="47"/>
      <c r="V642" s="47"/>
      <c r="Y642" s="47"/>
    </row>
    <row r="643" ht="15.75" customHeight="1">
      <c r="T643" s="47"/>
      <c r="U643" s="47"/>
      <c r="V643" s="47"/>
      <c r="Y643" s="47"/>
    </row>
    <row r="644" ht="15.75" customHeight="1">
      <c r="T644" s="47"/>
      <c r="U644" s="47"/>
      <c r="V644" s="47"/>
      <c r="Y644" s="47"/>
    </row>
    <row r="645" ht="15.75" customHeight="1">
      <c r="T645" s="47"/>
      <c r="U645" s="47"/>
      <c r="V645" s="47"/>
      <c r="Y645" s="47"/>
    </row>
    <row r="646" ht="15.75" customHeight="1">
      <c r="T646" s="47"/>
      <c r="U646" s="47"/>
      <c r="V646" s="47"/>
      <c r="Y646" s="47"/>
    </row>
    <row r="647" ht="15.75" customHeight="1">
      <c r="T647" s="47"/>
      <c r="U647" s="47"/>
      <c r="V647" s="47"/>
      <c r="Y647" s="47"/>
    </row>
    <row r="648" ht="15.75" customHeight="1">
      <c r="T648" s="47"/>
      <c r="U648" s="47"/>
      <c r="V648" s="47"/>
      <c r="Y648" s="47"/>
    </row>
    <row r="649" ht="15.75" customHeight="1">
      <c r="T649" s="47"/>
      <c r="U649" s="47"/>
      <c r="V649" s="47"/>
      <c r="Y649" s="47"/>
    </row>
    <row r="650" ht="15.75" customHeight="1">
      <c r="T650" s="47"/>
      <c r="U650" s="47"/>
      <c r="V650" s="47"/>
      <c r="Y650" s="47"/>
    </row>
    <row r="651" ht="15.75" customHeight="1">
      <c r="T651" s="47"/>
      <c r="U651" s="47"/>
      <c r="V651" s="47"/>
      <c r="Y651" s="47"/>
    </row>
    <row r="652" ht="15.75" customHeight="1">
      <c r="T652" s="47"/>
      <c r="U652" s="47"/>
      <c r="V652" s="47"/>
      <c r="Y652" s="47"/>
    </row>
    <row r="653" ht="15.75" customHeight="1">
      <c r="T653" s="47"/>
      <c r="U653" s="47"/>
      <c r="V653" s="47"/>
      <c r="Y653" s="47"/>
    </row>
    <row r="654" ht="15.75" customHeight="1">
      <c r="T654" s="47"/>
      <c r="U654" s="47"/>
      <c r="V654" s="47"/>
      <c r="Y654" s="47"/>
    </row>
    <row r="655" ht="15.75" customHeight="1">
      <c r="T655" s="47"/>
      <c r="U655" s="47"/>
      <c r="V655" s="47"/>
      <c r="Y655" s="47"/>
    </row>
    <row r="656" ht="15.75" customHeight="1">
      <c r="T656" s="47"/>
      <c r="U656" s="47"/>
      <c r="V656" s="47"/>
      <c r="Y656" s="47"/>
    </row>
    <row r="657" ht="15.75" customHeight="1">
      <c r="T657" s="47"/>
      <c r="U657" s="47"/>
      <c r="V657" s="47"/>
      <c r="Y657" s="47"/>
    </row>
    <row r="658" ht="15.75" customHeight="1">
      <c r="T658" s="47"/>
      <c r="U658" s="47"/>
      <c r="V658" s="47"/>
      <c r="Y658" s="47"/>
    </row>
    <row r="659" ht="15.75" customHeight="1">
      <c r="T659" s="47"/>
      <c r="U659" s="47"/>
      <c r="V659" s="47"/>
      <c r="Y659" s="47"/>
    </row>
    <row r="660" ht="15.75" customHeight="1">
      <c r="T660" s="47"/>
      <c r="U660" s="47"/>
      <c r="V660" s="47"/>
      <c r="Y660" s="47"/>
    </row>
    <row r="661" ht="15.75" customHeight="1">
      <c r="T661" s="47"/>
      <c r="U661" s="47"/>
      <c r="V661" s="47"/>
      <c r="Y661" s="47"/>
    </row>
    <row r="662" ht="15.75" customHeight="1">
      <c r="T662" s="47"/>
      <c r="U662" s="47"/>
      <c r="V662" s="47"/>
      <c r="Y662" s="47"/>
    </row>
    <row r="663" ht="15.75" customHeight="1">
      <c r="T663" s="47"/>
      <c r="U663" s="47"/>
      <c r="V663" s="47"/>
      <c r="Y663" s="47"/>
    </row>
    <row r="664" ht="15.75" customHeight="1">
      <c r="T664" s="47"/>
      <c r="U664" s="47"/>
      <c r="V664" s="47"/>
      <c r="Y664" s="47"/>
    </row>
    <row r="665" ht="15.75" customHeight="1">
      <c r="T665" s="47"/>
      <c r="U665" s="47"/>
      <c r="V665" s="47"/>
      <c r="Y665" s="47"/>
    </row>
    <row r="666" ht="15.75" customHeight="1">
      <c r="T666" s="47"/>
      <c r="U666" s="47"/>
      <c r="V666" s="47"/>
      <c r="Y666" s="47"/>
    </row>
    <row r="667" ht="15.75" customHeight="1">
      <c r="T667" s="47"/>
      <c r="U667" s="47"/>
      <c r="V667" s="47"/>
      <c r="Y667" s="47"/>
    </row>
    <row r="668" ht="15.75" customHeight="1">
      <c r="T668" s="47"/>
      <c r="U668" s="47"/>
      <c r="V668" s="47"/>
      <c r="Y668" s="47"/>
    </row>
    <row r="669" ht="15.75" customHeight="1">
      <c r="T669" s="47"/>
      <c r="U669" s="47"/>
      <c r="V669" s="47"/>
      <c r="Y669" s="47"/>
    </row>
    <row r="670" ht="15.75" customHeight="1">
      <c r="T670" s="47"/>
      <c r="U670" s="47"/>
      <c r="V670" s="47"/>
      <c r="Y670" s="47"/>
    </row>
    <row r="671" ht="15.75" customHeight="1">
      <c r="T671" s="47"/>
      <c r="U671" s="47"/>
      <c r="V671" s="47"/>
      <c r="Y671" s="47"/>
    </row>
    <row r="672" ht="15.75" customHeight="1">
      <c r="T672" s="47"/>
      <c r="U672" s="47"/>
      <c r="V672" s="47"/>
      <c r="Y672" s="47"/>
    </row>
    <row r="673" ht="15.75" customHeight="1">
      <c r="T673" s="47"/>
      <c r="U673" s="47"/>
      <c r="V673" s="47"/>
      <c r="Y673" s="47"/>
    </row>
    <row r="674" ht="15.75" customHeight="1">
      <c r="T674" s="47"/>
      <c r="U674" s="47"/>
      <c r="V674" s="47"/>
      <c r="Y674" s="47"/>
    </row>
    <row r="675" ht="15.75" customHeight="1">
      <c r="T675" s="47"/>
      <c r="U675" s="47"/>
      <c r="V675" s="47"/>
      <c r="Y675" s="47"/>
    </row>
    <row r="676" ht="15.75" customHeight="1">
      <c r="T676" s="47"/>
      <c r="U676" s="47"/>
      <c r="V676" s="47"/>
      <c r="Y676" s="47"/>
    </row>
    <row r="677" ht="15.75" customHeight="1">
      <c r="T677" s="47"/>
      <c r="U677" s="47"/>
      <c r="V677" s="47"/>
      <c r="Y677" s="47"/>
    </row>
    <row r="678" ht="15.75" customHeight="1">
      <c r="T678" s="47"/>
      <c r="U678" s="47"/>
      <c r="V678" s="47"/>
      <c r="Y678" s="47"/>
    </row>
    <row r="679" ht="15.75" customHeight="1">
      <c r="T679" s="47"/>
      <c r="U679" s="47"/>
      <c r="V679" s="47"/>
      <c r="Y679" s="47"/>
    </row>
    <row r="680" ht="15.75" customHeight="1">
      <c r="T680" s="47"/>
      <c r="U680" s="47"/>
      <c r="V680" s="47"/>
      <c r="Y680" s="47"/>
    </row>
    <row r="681" ht="15.75" customHeight="1">
      <c r="T681" s="47"/>
      <c r="U681" s="47"/>
      <c r="V681" s="47"/>
      <c r="Y681" s="47"/>
    </row>
    <row r="682" ht="15.75" customHeight="1">
      <c r="T682" s="47"/>
      <c r="U682" s="47"/>
      <c r="V682" s="47"/>
      <c r="Y682" s="47"/>
    </row>
    <row r="683" ht="15.75" customHeight="1">
      <c r="T683" s="47"/>
      <c r="U683" s="47"/>
      <c r="V683" s="47"/>
      <c r="Y683" s="47"/>
    </row>
    <row r="684" ht="15.75" customHeight="1">
      <c r="T684" s="47"/>
      <c r="U684" s="47"/>
      <c r="V684" s="47"/>
      <c r="Y684" s="47"/>
    </row>
    <row r="685" ht="15.75" customHeight="1">
      <c r="T685" s="47"/>
      <c r="U685" s="47"/>
      <c r="V685" s="47"/>
      <c r="Y685" s="47"/>
    </row>
    <row r="686" ht="15.75" customHeight="1">
      <c r="T686" s="47"/>
      <c r="U686" s="47"/>
      <c r="V686" s="47"/>
      <c r="Y686" s="47"/>
    </row>
    <row r="687" ht="15.75" customHeight="1">
      <c r="T687" s="47"/>
      <c r="U687" s="47"/>
      <c r="V687" s="47"/>
      <c r="Y687" s="47"/>
    </row>
    <row r="688" ht="15.75" customHeight="1">
      <c r="T688" s="47"/>
      <c r="U688" s="47"/>
      <c r="V688" s="47"/>
      <c r="Y688" s="47"/>
    </row>
    <row r="689" ht="15.75" customHeight="1">
      <c r="T689" s="47"/>
      <c r="U689" s="47"/>
      <c r="V689" s="47"/>
      <c r="Y689" s="47"/>
    </row>
    <row r="690" ht="15.75" customHeight="1">
      <c r="T690" s="47"/>
      <c r="U690" s="47"/>
      <c r="V690" s="47"/>
      <c r="Y690" s="47"/>
    </row>
    <row r="691" ht="15.75" customHeight="1">
      <c r="T691" s="47"/>
      <c r="U691" s="47"/>
      <c r="V691" s="47"/>
      <c r="Y691" s="47"/>
    </row>
    <row r="692" ht="15.75" customHeight="1">
      <c r="T692" s="47"/>
      <c r="U692" s="47"/>
      <c r="V692" s="47"/>
      <c r="Y692" s="47"/>
    </row>
    <row r="693" ht="15.75" customHeight="1">
      <c r="T693" s="47"/>
      <c r="U693" s="47"/>
      <c r="V693" s="47"/>
      <c r="Y693" s="47"/>
    </row>
    <row r="694" ht="15.75" customHeight="1">
      <c r="T694" s="47"/>
      <c r="U694" s="47"/>
      <c r="V694" s="47"/>
      <c r="Y694" s="47"/>
    </row>
    <row r="695" ht="15.75" customHeight="1">
      <c r="T695" s="47"/>
      <c r="U695" s="47"/>
      <c r="V695" s="47"/>
      <c r="Y695" s="47"/>
    </row>
    <row r="696" ht="15.75" customHeight="1">
      <c r="T696" s="47"/>
      <c r="U696" s="47"/>
      <c r="V696" s="47"/>
      <c r="Y696" s="47"/>
    </row>
    <row r="697" ht="15.75" customHeight="1">
      <c r="T697" s="47"/>
      <c r="U697" s="47"/>
      <c r="V697" s="47"/>
      <c r="Y697" s="47"/>
    </row>
    <row r="698" ht="15.75" customHeight="1">
      <c r="T698" s="47"/>
      <c r="U698" s="47"/>
      <c r="V698" s="47"/>
      <c r="Y698" s="47"/>
    </row>
    <row r="699" ht="15.75" customHeight="1">
      <c r="T699" s="47"/>
      <c r="U699" s="47"/>
      <c r="V699" s="47"/>
      <c r="Y699" s="47"/>
    </row>
    <row r="700" ht="15.75" customHeight="1">
      <c r="T700" s="47"/>
      <c r="U700" s="47"/>
      <c r="V700" s="47"/>
      <c r="Y700" s="47"/>
    </row>
    <row r="701" ht="15.75" customHeight="1">
      <c r="T701" s="47"/>
      <c r="U701" s="47"/>
      <c r="V701" s="47"/>
      <c r="Y701" s="47"/>
    </row>
    <row r="702" ht="15.75" customHeight="1">
      <c r="T702" s="47"/>
      <c r="U702" s="47"/>
      <c r="V702" s="47"/>
      <c r="Y702" s="47"/>
    </row>
    <row r="703" ht="15.75" customHeight="1">
      <c r="T703" s="47"/>
      <c r="U703" s="47"/>
      <c r="V703" s="47"/>
      <c r="Y703" s="47"/>
    </row>
    <row r="704" ht="15.75" customHeight="1">
      <c r="T704" s="47"/>
      <c r="U704" s="47"/>
      <c r="V704" s="47"/>
      <c r="Y704" s="47"/>
    </row>
    <row r="705" ht="15.75" customHeight="1">
      <c r="T705" s="47"/>
      <c r="U705" s="47"/>
      <c r="V705" s="47"/>
      <c r="Y705" s="47"/>
    </row>
    <row r="706" ht="15.75" customHeight="1">
      <c r="T706" s="47"/>
      <c r="U706" s="47"/>
      <c r="V706" s="47"/>
      <c r="Y706" s="47"/>
    </row>
    <row r="707" ht="15.75" customHeight="1">
      <c r="T707" s="47"/>
      <c r="U707" s="47"/>
      <c r="V707" s="47"/>
      <c r="Y707" s="47"/>
    </row>
    <row r="708" ht="15.75" customHeight="1">
      <c r="T708" s="47"/>
      <c r="U708" s="47"/>
      <c r="V708" s="47"/>
      <c r="Y708" s="47"/>
    </row>
    <row r="709" ht="15.75" customHeight="1">
      <c r="T709" s="47"/>
      <c r="U709" s="47"/>
      <c r="V709" s="47"/>
      <c r="Y709" s="47"/>
    </row>
    <row r="710" ht="15.75" customHeight="1">
      <c r="T710" s="47"/>
      <c r="U710" s="47"/>
      <c r="V710" s="47"/>
      <c r="Y710" s="47"/>
    </row>
    <row r="711" ht="15.75" customHeight="1">
      <c r="T711" s="47"/>
      <c r="U711" s="47"/>
      <c r="V711" s="47"/>
      <c r="Y711" s="47"/>
    </row>
    <row r="712" ht="15.75" customHeight="1">
      <c r="T712" s="47"/>
      <c r="U712" s="47"/>
      <c r="V712" s="47"/>
      <c r="Y712" s="47"/>
    </row>
    <row r="713" ht="15.75" customHeight="1">
      <c r="T713" s="47"/>
      <c r="U713" s="47"/>
      <c r="V713" s="47"/>
      <c r="Y713" s="47"/>
    </row>
    <row r="714" ht="15.75" customHeight="1">
      <c r="T714" s="47"/>
      <c r="U714" s="47"/>
      <c r="V714" s="47"/>
      <c r="Y714" s="47"/>
    </row>
    <row r="715" ht="15.75" customHeight="1">
      <c r="T715" s="47"/>
      <c r="U715" s="47"/>
      <c r="V715" s="47"/>
      <c r="Y715" s="47"/>
    </row>
    <row r="716" ht="15.75" customHeight="1">
      <c r="T716" s="47"/>
      <c r="U716" s="47"/>
      <c r="V716" s="47"/>
      <c r="Y716" s="47"/>
    </row>
    <row r="717" ht="15.75" customHeight="1">
      <c r="T717" s="47"/>
      <c r="U717" s="47"/>
      <c r="V717" s="47"/>
      <c r="Y717" s="47"/>
    </row>
    <row r="718" ht="15.75" customHeight="1">
      <c r="T718" s="47"/>
      <c r="U718" s="47"/>
      <c r="V718" s="47"/>
      <c r="Y718" s="47"/>
    </row>
    <row r="719" ht="15.75" customHeight="1">
      <c r="T719" s="47"/>
      <c r="U719" s="47"/>
      <c r="V719" s="47"/>
      <c r="Y719" s="47"/>
    </row>
    <row r="720" ht="15.75" customHeight="1">
      <c r="T720" s="47"/>
      <c r="U720" s="47"/>
      <c r="V720" s="47"/>
      <c r="Y720" s="47"/>
    </row>
    <row r="721" ht="15.75" customHeight="1">
      <c r="T721" s="47"/>
      <c r="U721" s="47"/>
      <c r="V721" s="47"/>
      <c r="Y721" s="47"/>
    </row>
    <row r="722" ht="15.75" customHeight="1">
      <c r="T722" s="47"/>
      <c r="U722" s="47"/>
      <c r="V722" s="47"/>
      <c r="Y722" s="47"/>
    </row>
    <row r="723" ht="15.75" customHeight="1">
      <c r="T723" s="47"/>
      <c r="U723" s="47"/>
      <c r="V723" s="47"/>
      <c r="Y723" s="47"/>
    </row>
    <row r="724" ht="15.75" customHeight="1">
      <c r="T724" s="47"/>
      <c r="U724" s="47"/>
      <c r="V724" s="47"/>
      <c r="Y724" s="47"/>
    </row>
    <row r="725" ht="15.75" customHeight="1">
      <c r="T725" s="47"/>
      <c r="U725" s="47"/>
      <c r="V725" s="47"/>
      <c r="Y725" s="47"/>
    </row>
    <row r="726" ht="15.75" customHeight="1">
      <c r="T726" s="47"/>
      <c r="U726" s="47"/>
      <c r="V726" s="47"/>
      <c r="Y726" s="47"/>
    </row>
    <row r="727" ht="15.75" customHeight="1">
      <c r="T727" s="47"/>
      <c r="U727" s="47"/>
      <c r="V727" s="47"/>
      <c r="Y727" s="47"/>
    </row>
    <row r="728" ht="15.75" customHeight="1">
      <c r="T728" s="47"/>
      <c r="U728" s="47"/>
      <c r="V728" s="47"/>
      <c r="Y728" s="47"/>
    </row>
    <row r="729" ht="15.75" customHeight="1">
      <c r="T729" s="47"/>
      <c r="U729" s="47"/>
      <c r="V729" s="47"/>
      <c r="Y729" s="47"/>
    </row>
    <row r="730" ht="15.75" customHeight="1">
      <c r="T730" s="47"/>
      <c r="U730" s="47"/>
      <c r="V730" s="47"/>
      <c r="Y730" s="47"/>
    </row>
    <row r="731" ht="15.75" customHeight="1">
      <c r="T731" s="47"/>
      <c r="U731" s="47"/>
      <c r="V731" s="47"/>
      <c r="Y731" s="47"/>
    </row>
    <row r="732" ht="15.75" customHeight="1">
      <c r="T732" s="47"/>
      <c r="U732" s="47"/>
      <c r="V732" s="47"/>
      <c r="Y732" s="47"/>
    </row>
    <row r="733" ht="15.75" customHeight="1">
      <c r="T733" s="47"/>
      <c r="U733" s="47"/>
      <c r="V733" s="47"/>
      <c r="Y733" s="47"/>
    </row>
    <row r="734" ht="15.75" customHeight="1">
      <c r="T734" s="47"/>
      <c r="U734" s="47"/>
      <c r="V734" s="47"/>
      <c r="Y734" s="47"/>
    </row>
    <row r="735" ht="15.75" customHeight="1">
      <c r="T735" s="47"/>
      <c r="U735" s="47"/>
      <c r="V735" s="47"/>
      <c r="Y735" s="47"/>
    </row>
    <row r="736" ht="15.75" customHeight="1">
      <c r="T736" s="47"/>
      <c r="U736" s="47"/>
      <c r="V736" s="47"/>
      <c r="Y736" s="47"/>
    </row>
    <row r="737" ht="15.75" customHeight="1">
      <c r="T737" s="47"/>
      <c r="U737" s="47"/>
      <c r="V737" s="47"/>
      <c r="Y737" s="47"/>
    </row>
    <row r="738" ht="15.75" customHeight="1">
      <c r="T738" s="47"/>
      <c r="U738" s="47"/>
      <c r="V738" s="47"/>
      <c r="Y738" s="47"/>
    </row>
    <row r="739" ht="15.75" customHeight="1">
      <c r="T739" s="47"/>
      <c r="U739" s="47"/>
      <c r="V739" s="47"/>
      <c r="Y739" s="47"/>
    </row>
    <row r="740" ht="15.75" customHeight="1">
      <c r="T740" s="47"/>
      <c r="U740" s="47"/>
      <c r="V740" s="47"/>
      <c r="Y740" s="47"/>
    </row>
    <row r="741" ht="15.75" customHeight="1">
      <c r="T741" s="47"/>
      <c r="U741" s="47"/>
      <c r="V741" s="47"/>
      <c r="Y741" s="47"/>
    </row>
    <row r="742" ht="15.75" customHeight="1">
      <c r="T742" s="47"/>
      <c r="U742" s="47"/>
      <c r="V742" s="47"/>
      <c r="Y742" s="47"/>
    </row>
    <row r="743" ht="15.75" customHeight="1">
      <c r="T743" s="47"/>
      <c r="U743" s="47"/>
      <c r="V743" s="47"/>
      <c r="Y743" s="47"/>
    </row>
    <row r="744" ht="15.75" customHeight="1">
      <c r="T744" s="47"/>
      <c r="U744" s="47"/>
      <c r="V744" s="47"/>
      <c r="Y744" s="47"/>
    </row>
    <row r="745" ht="15.75" customHeight="1">
      <c r="T745" s="47"/>
      <c r="U745" s="47"/>
      <c r="V745" s="47"/>
      <c r="Y745" s="47"/>
    </row>
    <row r="746" ht="15.75" customHeight="1">
      <c r="T746" s="47"/>
      <c r="U746" s="47"/>
      <c r="V746" s="47"/>
      <c r="Y746" s="47"/>
    </row>
    <row r="747" ht="15.75" customHeight="1">
      <c r="T747" s="47"/>
      <c r="U747" s="47"/>
      <c r="V747" s="47"/>
      <c r="Y747" s="47"/>
    </row>
    <row r="748" ht="15.75" customHeight="1">
      <c r="T748" s="47"/>
      <c r="U748" s="47"/>
      <c r="V748" s="47"/>
      <c r="Y748" s="47"/>
    </row>
    <row r="749" ht="15.75" customHeight="1">
      <c r="T749" s="47"/>
      <c r="U749" s="47"/>
      <c r="V749" s="47"/>
      <c r="Y749" s="47"/>
    </row>
    <row r="750" ht="15.75" customHeight="1">
      <c r="T750" s="47"/>
      <c r="U750" s="47"/>
      <c r="V750" s="47"/>
      <c r="Y750" s="47"/>
    </row>
    <row r="751" ht="15.75" customHeight="1">
      <c r="T751" s="47"/>
      <c r="U751" s="47"/>
      <c r="V751" s="47"/>
      <c r="Y751" s="47"/>
    </row>
    <row r="752" ht="15.75" customHeight="1">
      <c r="T752" s="47"/>
      <c r="U752" s="47"/>
      <c r="V752" s="47"/>
      <c r="Y752" s="47"/>
    </row>
    <row r="753" ht="15.75" customHeight="1">
      <c r="T753" s="47"/>
      <c r="U753" s="47"/>
      <c r="V753" s="47"/>
      <c r="Y753" s="47"/>
    </row>
    <row r="754" ht="15.75" customHeight="1">
      <c r="T754" s="47"/>
      <c r="U754" s="47"/>
      <c r="V754" s="47"/>
      <c r="Y754" s="47"/>
    </row>
    <row r="755" ht="15.75" customHeight="1">
      <c r="T755" s="47"/>
      <c r="U755" s="47"/>
      <c r="V755" s="47"/>
      <c r="Y755" s="47"/>
    </row>
    <row r="756" ht="15.75" customHeight="1">
      <c r="T756" s="47"/>
      <c r="U756" s="47"/>
      <c r="V756" s="47"/>
      <c r="Y756" s="47"/>
    </row>
    <row r="757" ht="15.75" customHeight="1">
      <c r="T757" s="47"/>
      <c r="U757" s="47"/>
      <c r="V757" s="47"/>
      <c r="Y757" s="47"/>
    </row>
    <row r="758" ht="15.75" customHeight="1">
      <c r="T758" s="47"/>
      <c r="U758" s="47"/>
      <c r="V758" s="47"/>
      <c r="Y758" s="47"/>
    </row>
    <row r="759" ht="15.75" customHeight="1">
      <c r="T759" s="47"/>
      <c r="U759" s="47"/>
      <c r="V759" s="47"/>
      <c r="Y759" s="47"/>
    </row>
    <row r="760" ht="15.75" customHeight="1">
      <c r="T760" s="47"/>
      <c r="U760" s="47"/>
      <c r="V760" s="47"/>
      <c r="Y760" s="47"/>
    </row>
    <row r="761" ht="15.75" customHeight="1">
      <c r="T761" s="47"/>
      <c r="U761" s="47"/>
      <c r="V761" s="47"/>
      <c r="Y761" s="47"/>
    </row>
    <row r="762" ht="15.75" customHeight="1">
      <c r="T762" s="47"/>
      <c r="U762" s="47"/>
      <c r="V762" s="47"/>
      <c r="Y762" s="47"/>
    </row>
    <row r="763" ht="15.75" customHeight="1">
      <c r="T763" s="47"/>
      <c r="U763" s="47"/>
      <c r="V763" s="47"/>
      <c r="Y763" s="47"/>
    </row>
    <row r="764" ht="15.75" customHeight="1">
      <c r="T764" s="47"/>
      <c r="U764" s="47"/>
      <c r="V764" s="47"/>
      <c r="Y764" s="47"/>
    </row>
    <row r="765" ht="15.75" customHeight="1">
      <c r="T765" s="47"/>
      <c r="U765" s="47"/>
      <c r="V765" s="47"/>
      <c r="Y765" s="47"/>
    </row>
    <row r="766" ht="15.75" customHeight="1">
      <c r="T766" s="47"/>
      <c r="U766" s="47"/>
      <c r="V766" s="47"/>
      <c r="Y766" s="47"/>
    </row>
    <row r="767" ht="15.75" customHeight="1">
      <c r="T767" s="47"/>
      <c r="U767" s="47"/>
      <c r="V767" s="47"/>
      <c r="Y767" s="47"/>
    </row>
    <row r="768" ht="15.75" customHeight="1">
      <c r="T768" s="47"/>
      <c r="U768" s="47"/>
      <c r="V768" s="47"/>
      <c r="Y768" s="47"/>
    </row>
    <row r="769" ht="15.75" customHeight="1">
      <c r="T769" s="47"/>
      <c r="U769" s="47"/>
      <c r="V769" s="47"/>
      <c r="Y769" s="47"/>
    </row>
    <row r="770" ht="15.75" customHeight="1">
      <c r="T770" s="47"/>
      <c r="U770" s="47"/>
      <c r="V770" s="47"/>
      <c r="Y770" s="47"/>
    </row>
    <row r="771" ht="15.75" customHeight="1">
      <c r="T771" s="47"/>
      <c r="U771" s="47"/>
      <c r="V771" s="47"/>
      <c r="Y771" s="47"/>
    </row>
    <row r="772" ht="15.75" customHeight="1">
      <c r="T772" s="47"/>
      <c r="U772" s="47"/>
      <c r="V772" s="47"/>
      <c r="Y772" s="47"/>
    </row>
    <row r="773" ht="15.75" customHeight="1">
      <c r="T773" s="47"/>
      <c r="U773" s="47"/>
      <c r="V773" s="47"/>
      <c r="Y773" s="47"/>
    </row>
    <row r="774" ht="15.75" customHeight="1">
      <c r="T774" s="47"/>
      <c r="U774" s="47"/>
      <c r="V774" s="47"/>
      <c r="Y774" s="47"/>
    </row>
    <row r="775" ht="15.75" customHeight="1">
      <c r="T775" s="47"/>
      <c r="U775" s="47"/>
      <c r="V775" s="47"/>
      <c r="Y775" s="47"/>
    </row>
    <row r="776" ht="15.75" customHeight="1">
      <c r="T776" s="47"/>
      <c r="U776" s="47"/>
      <c r="V776" s="47"/>
      <c r="Y776" s="47"/>
    </row>
    <row r="777" ht="15.75" customHeight="1">
      <c r="T777" s="47"/>
      <c r="U777" s="47"/>
      <c r="V777" s="47"/>
      <c r="Y777" s="47"/>
    </row>
    <row r="778" ht="15.75" customHeight="1">
      <c r="T778" s="47"/>
      <c r="U778" s="47"/>
      <c r="V778" s="47"/>
      <c r="Y778" s="47"/>
    </row>
    <row r="779" ht="15.75" customHeight="1">
      <c r="T779" s="47"/>
      <c r="U779" s="47"/>
      <c r="V779" s="47"/>
      <c r="Y779" s="47"/>
    </row>
    <row r="780" ht="15.75" customHeight="1">
      <c r="T780" s="47"/>
      <c r="U780" s="47"/>
      <c r="V780" s="47"/>
      <c r="Y780" s="47"/>
    </row>
    <row r="781" ht="15.75" customHeight="1">
      <c r="T781" s="47"/>
      <c r="U781" s="47"/>
      <c r="V781" s="47"/>
      <c r="Y781" s="47"/>
    </row>
    <row r="782" ht="15.75" customHeight="1">
      <c r="T782" s="47"/>
      <c r="U782" s="47"/>
      <c r="V782" s="47"/>
      <c r="Y782" s="47"/>
    </row>
    <row r="783" ht="15.75" customHeight="1">
      <c r="T783" s="47"/>
      <c r="U783" s="47"/>
      <c r="V783" s="47"/>
      <c r="Y783" s="47"/>
    </row>
    <row r="784" ht="15.75" customHeight="1">
      <c r="T784" s="47"/>
      <c r="U784" s="47"/>
      <c r="V784" s="47"/>
      <c r="Y784" s="47"/>
    </row>
    <row r="785" ht="15.75" customHeight="1">
      <c r="T785" s="47"/>
      <c r="U785" s="47"/>
      <c r="V785" s="47"/>
      <c r="Y785" s="47"/>
    </row>
    <row r="786" ht="15.75" customHeight="1">
      <c r="T786" s="47"/>
      <c r="U786" s="47"/>
      <c r="V786" s="47"/>
      <c r="Y786" s="47"/>
    </row>
    <row r="787" ht="15.75" customHeight="1">
      <c r="T787" s="47"/>
      <c r="U787" s="47"/>
      <c r="V787" s="47"/>
      <c r="Y787" s="47"/>
    </row>
    <row r="788" ht="15.75" customHeight="1">
      <c r="T788" s="47"/>
      <c r="U788" s="47"/>
      <c r="V788" s="47"/>
      <c r="Y788" s="47"/>
    </row>
    <row r="789" ht="15.75" customHeight="1">
      <c r="T789" s="47"/>
      <c r="U789" s="47"/>
      <c r="V789" s="47"/>
      <c r="Y789" s="47"/>
    </row>
    <row r="790" ht="15.75" customHeight="1">
      <c r="T790" s="47"/>
      <c r="U790" s="47"/>
      <c r="V790" s="47"/>
      <c r="Y790" s="47"/>
    </row>
    <row r="791" ht="15.75" customHeight="1">
      <c r="T791" s="47"/>
      <c r="U791" s="47"/>
      <c r="V791" s="47"/>
      <c r="Y791" s="47"/>
    </row>
    <row r="792" ht="15.75" customHeight="1">
      <c r="T792" s="47"/>
      <c r="U792" s="47"/>
      <c r="V792" s="47"/>
      <c r="Y792" s="47"/>
    </row>
    <row r="793" ht="15.75" customHeight="1">
      <c r="T793" s="47"/>
      <c r="U793" s="47"/>
      <c r="V793" s="47"/>
      <c r="Y793" s="47"/>
    </row>
    <row r="794" ht="15.75" customHeight="1">
      <c r="T794" s="47"/>
      <c r="U794" s="47"/>
      <c r="V794" s="47"/>
      <c r="Y794" s="47"/>
    </row>
    <row r="795" ht="15.75" customHeight="1">
      <c r="T795" s="47"/>
      <c r="U795" s="47"/>
      <c r="V795" s="47"/>
      <c r="Y795" s="47"/>
    </row>
    <row r="796" ht="15.75" customHeight="1">
      <c r="T796" s="47"/>
      <c r="U796" s="47"/>
      <c r="V796" s="47"/>
      <c r="Y796" s="47"/>
    </row>
    <row r="797" ht="15.75" customHeight="1">
      <c r="T797" s="47"/>
      <c r="U797" s="47"/>
      <c r="V797" s="47"/>
      <c r="Y797" s="47"/>
    </row>
    <row r="798" ht="15.75" customHeight="1">
      <c r="T798" s="47"/>
      <c r="U798" s="47"/>
      <c r="V798" s="47"/>
      <c r="Y798" s="47"/>
    </row>
    <row r="799" ht="15.75" customHeight="1">
      <c r="T799" s="47"/>
      <c r="U799" s="47"/>
      <c r="V799" s="47"/>
      <c r="Y799" s="47"/>
    </row>
    <row r="800" ht="15.75" customHeight="1">
      <c r="T800" s="47"/>
      <c r="U800" s="47"/>
      <c r="V800" s="47"/>
      <c r="Y800" s="47"/>
    </row>
    <row r="801" ht="15.75" customHeight="1">
      <c r="T801" s="47"/>
      <c r="U801" s="47"/>
      <c r="V801" s="47"/>
      <c r="Y801" s="47"/>
    </row>
    <row r="802" ht="15.75" customHeight="1">
      <c r="T802" s="47"/>
      <c r="U802" s="47"/>
      <c r="V802" s="47"/>
      <c r="Y802" s="47"/>
    </row>
    <row r="803" ht="15.75" customHeight="1">
      <c r="T803" s="47"/>
      <c r="U803" s="47"/>
      <c r="V803" s="47"/>
      <c r="Y803" s="47"/>
    </row>
    <row r="804" ht="15.75" customHeight="1">
      <c r="T804" s="47"/>
      <c r="U804" s="47"/>
      <c r="V804" s="47"/>
      <c r="Y804" s="47"/>
    </row>
    <row r="805" ht="15.75" customHeight="1">
      <c r="T805" s="47"/>
      <c r="U805" s="47"/>
      <c r="V805" s="47"/>
      <c r="Y805" s="47"/>
    </row>
    <row r="806" ht="15.75" customHeight="1">
      <c r="T806" s="47"/>
      <c r="U806" s="47"/>
      <c r="V806" s="47"/>
      <c r="Y806" s="47"/>
    </row>
    <row r="807" ht="15.75" customHeight="1">
      <c r="T807" s="47"/>
      <c r="U807" s="47"/>
      <c r="V807" s="47"/>
      <c r="Y807" s="47"/>
    </row>
    <row r="808" ht="15.75" customHeight="1">
      <c r="T808" s="47"/>
      <c r="U808" s="47"/>
      <c r="V808" s="47"/>
      <c r="Y808" s="47"/>
    </row>
    <row r="809" ht="15.75" customHeight="1">
      <c r="T809" s="47"/>
      <c r="U809" s="47"/>
      <c r="V809" s="47"/>
      <c r="Y809" s="47"/>
    </row>
    <row r="810" ht="15.75" customHeight="1">
      <c r="T810" s="47"/>
      <c r="U810" s="47"/>
      <c r="V810" s="47"/>
      <c r="Y810" s="47"/>
    </row>
    <row r="811" ht="15.75" customHeight="1">
      <c r="T811" s="47"/>
      <c r="U811" s="47"/>
      <c r="V811" s="47"/>
      <c r="Y811" s="47"/>
    </row>
    <row r="812" ht="15.75" customHeight="1">
      <c r="T812" s="47"/>
      <c r="U812" s="47"/>
      <c r="V812" s="47"/>
      <c r="Y812" s="47"/>
    </row>
    <row r="813" ht="15.75" customHeight="1">
      <c r="T813" s="47"/>
      <c r="U813" s="47"/>
      <c r="V813" s="47"/>
      <c r="Y813" s="47"/>
    </row>
    <row r="814" ht="15.75" customHeight="1">
      <c r="T814" s="47"/>
      <c r="U814" s="47"/>
      <c r="V814" s="47"/>
      <c r="Y814" s="47"/>
    </row>
    <row r="815" ht="15.75" customHeight="1">
      <c r="T815" s="47"/>
      <c r="U815" s="47"/>
      <c r="V815" s="47"/>
      <c r="Y815" s="47"/>
    </row>
    <row r="816" ht="15.75" customHeight="1">
      <c r="T816" s="47"/>
      <c r="U816" s="47"/>
      <c r="V816" s="47"/>
      <c r="Y816" s="47"/>
    </row>
    <row r="817" ht="15.75" customHeight="1">
      <c r="T817" s="47"/>
      <c r="U817" s="47"/>
      <c r="V817" s="47"/>
      <c r="Y817" s="47"/>
    </row>
    <row r="818" ht="15.75" customHeight="1">
      <c r="T818" s="47"/>
      <c r="U818" s="47"/>
      <c r="V818" s="47"/>
      <c r="Y818" s="47"/>
    </row>
    <row r="819" ht="15.75" customHeight="1">
      <c r="T819" s="47"/>
      <c r="U819" s="47"/>
      <c r="V819" s="47"/>
      <c r="Y819" s="47"/>
    </row>
    <row r="820" ht="15.75" customHeight="1">
      <c r="T820" s="47"/>
      <c r="U820" s="47"/>
      <c r="V820" s="47"/>
      <c r="Y820" s="47"/>
    </row>
    <row r="821" ht="15.75" customHeight="1">
      <c r="T821" s="47"/>
      <c r="U821" s="47"/>
      <c r="V821" s="47"/>
      <c r="Y821" s="47"/>
    </row>
    <row r="822" ht="15.75" customHeight="1">
      <c r="T822" s="47"/>
      <c r="U822" s="47"/>
      <c r="V822" s="47"/>
      <c r="Y822" s="47"/>
    </row>
    <row r="823" ht="15.75" customHeight="1">
      <c r="T823" s="47"/>
      <c r="U823" s="47"/>
      <c r="V823" s="47"/>
      <c r="Y823" s="47"/>
    </row>
    <row r="824" ht="15.75" customHeight="1">
      <c r="T824" s="47"/>
      <c r="U824" s="47"/>
      <c r="V824" s="47"/>
      <c r="Y824" s="47"/>
    </row>
    <row r="825" ht="15.75" customHeight="1">
      <c r="T825" s="47"/>
      <c r="U825" s="47"/>
      <c r="V825" s="47"/>
      <c r="Y825" s="47"/>
    </row>
    <row r="826" ht="15.75" customHeight="1">
      <c r="T826" s="47"/>
      <c r="U826" s="47"/>
      <c r="V826" s="47"/>
      <c r="Y826" s="47"/>
    </row>
    <row r="827" ht="15.75" customHeight="1">
      <c r="T827" s="47"/>
      <c r="U827" s="47"/>
      <c r="V827" s="47"/>
      <c r="Y827" s="47"/>
    </row>
    <row r="828" ht="15.75" customHeight="1">
      <c r="T828" s="47"/>
      <c r="U828" s="47"/>
      <c r="V828" s="47"/>
      <c r="Y828" s="47"/>
    </row>
    <row r="829" ht="15.75" customHeight="1">
      <c r="T829" s="47"/>
      <c r="U829" s="47"/>
      <c r="V829" s="47"/>
      <c r="Y829" s="47"/>
    </row>
    <row r="830" ht="15.75" customHeight="1">
      <c r="T830" s="47"/>
      <c r="U830" s="47"/>
      <c r="V830" s="47"/>
      <c r="Y830" s="47"/>
    </row>
    <row r="831" ht="15.75" customHeight="1">
      <c r="T831" s="47"/>
      <c r="U831" s="47"/>
      <c r="V831" s="47"/>
      <c r="Y831" s="47"/>
    </row>
    <row r="832" ht="15.75" customHeight="1">
      <c r="T832" s="47"/>
      <c r="U832" s="47"/>
      <c r="V832" s="47"/>
      <c r="Y832" s="47"/>
    </row>
    <row r="833" ht="15.75" customHeight="1">
      <c r="T833" s="47"/>
      <c r="U833" s="47"/>
      <c r="V833" s="47"/>
      <c r="Y833" s="47"/>
    </row>
    <row r="834" ht="15.75" customHeight="1">
      <c r="T834" s="47"/>
      <c r="U834" s="47"/>
      <c r="V834" s="47"/>
      <c r="Y834" s="47"/>
    </row>
    <row r="835" ht="15.75" customHeight="1">
      <c r="T835" s="47"/>
      <c r="U835" s="47"/>
      <c r="V835" s="47"/>
      <c r="Y835" s="47"/>
    </row>
    <row r="836" ht="15.75" customHeight="1">
      <c r="T836" s="47"/>
      <c r="U836" s="47"/>
      <c r="V836" s="47"/>
      <c r="Y836" s="47"/>
    </row>
    <row r="837" ht="15.75" customHeight="1">
      <c r="T837" s="47"/>
      <c r="U837" s="47"/>
      <c r="V837" s="47"/>
      <c r="Y837" s="47"/>
    </row>
    <row r="838" ht="15.75" customHeight="1">
      <c r="T838" s="47"/>
      <c r="U838" s="47"/>
      <c r="V838" s="47"/>
      <c r="Y838" s="47"/>
    </row>
    <row r="839" ht="15.75" customHeight="1">
      <c r="T839" s="47"/>
      <c r="U839" s="47"/>
      <c r="V839" s="47"/>
      <c r="Y839" s="47"/>
    </row>
    <row r="840" ht="15.75" customHeight="1">
      <c r="T840" s="47"/>
      <c r="U840" s="47"/>
      <c r="V840" s="47"/>
      <c r="Y840" s="47"/>
    </row>
    <row r="841" ht="15.75" customHeight="1">
      <c r="T841" s="47"/>
      <c r="U841" s="47"/>
      <c r="V841" s="47"/>
      <c r="Y841" s="47"/>
    </row>
    <row r="842" ht="15.75" customHeight="1">
      <c r="T842" s="47"/>
      <c r="U842" s="47"/>
      <c r="V842" s="47"/>
      <c r="Y842" s="47"/>
    </row>
    <row r="843" ht="15.75" customHeight="1">
      <c r="T843" s="47"/>
      <c r="U843" s="47"/>
      <c r="V843" s="47"/>
      <c r="Y843" s="47"/>
    </row>
    <row r="844" ht="15.75" customHeight="1">
      <c r="T844" s="47"/>
      <c r="U844" s="47"/>
      <c r="V844" s="47"/>
      <c r="Y844" s="47"/>
    </row>
    <row r="845" ht="15.75" customHeight="1">
      <c r="T845" s="47"/>
      <c r="U845" s="47"/>
      <c r="V845" s="47"/>
      <c r="Y845" s="47"/>
    </row>
    <row r="846" ht="15.75" customHeight="1">
      <c r="T846" s="47"/>
      <c r="U846" s="47"/>
      <c r="V846" s="47"/>
      <c r="Y846" s="47"/>
    </row>
    <row r="847" ht="15.75" customHeight="1">
      <c r="T847" s="47"/>
      <c r="U847" s="47"/>
      <c r="V847" s="47"/>
      <c r="Y847" s="47"/>
    </row>
    <row r="848" ht="15.75" customHeight="1">
      <c r="T848" s="47"/>
      <c r="U848" s="47"/>
      <c r="V848" s="47"/>
      <c r="Y848" s="47"/>
    </row>
    <row r="849" ht="15.75" customHeight="1">
      <c r="T849" s="47"/>
      <c r="U849" s="47"/>
      <c r="V849" s="47"/>
      <c r="Y849" s="47"/>
    </row>
    <row r="850" ht="15.75" customHeight="1">
      <c r="T850" s="47"/>
      <c r="U850" s="47"/>
      <c r="V850" s="47"/>
      <c r="Y850" s="47"/>
    </row>
    <row r="851" ht="15.75" customHeight="1">
      <c r="T851" s="47"/>
      <c r="U851" s="47"/>
      <c r="V851" s="47"/>
      <c r="Y851" s="47"/>
    </row>
    <row r="852" ht="15.75" customHeight="1">
      <c r="T852" s="47"/>
      <c r="U852" s="47"/>
      <c r="V852" s="47"/>
      <c r="Y852" s="47"/>
    </row>
    <row r="853" ht="15.75" customHeight="1">
      <c r="T853" s="47"/>
      <c r="U853" s="47"/>
      <c r="V853" s="47"/>
      <c r="Y853" s="47"/>
    </row>
    <row r="854" ht="15.75" customHeight="1">
      <c r="T854" s="47"/>
      <c r="U854" s="47"/>
      <c r="V854" s="47"/>
      <c r="Y854" s="47"/>
    </row>
    <row r="855" ht="15.75" customHeight="1">
      <c r="T855" s="47"/>
      <c r="U855" s="47"/>
      <c r="V855" s="47"/>
      <c r="Y855" s="47"/>
    </row>
    <row r="856" ht="15.75" customHeight="1">
      <c r="T856" s="47"/>
      <c r="U856" s="47"/>
      <c r="V856" s="47"/>
      <c r="Y856" s="47"/>
    </row>
    <row r="857" ht="15.75" customHeight="1">
      <c r="T857" s="47"/>
      <c r="U857" s="47"/>
      <c r="V857" s="47"/>
      <c r="Y857" s="47"/>
    </row>
    <row r="858" ht="15.75" customHeight="1">
      <c r="T858" s="47"/>
      <c r="U858" s="47"/>
      <c r="V858" s="47"/>
      <c r="Y858" s="47"/>
    </row>
    <row r="859" ht="15.75" customHeight="1">
      <c r="T859" s="47"/>
      <c r="U859" s="47"/>
      <c r="V859" s="47"/>
      <c r="Y859" s="47"/>
    </row>
    <row r="860" ht="15.75" customHeight="1">
      <c r="T860" s="47"/>
      <c r="U860" s="47"/>
      <c r="V860" s="47"/>
      <c r="Y860" s="47"/>
    </row>
    <row r="861" ht="15.75" customHeight="1">
      <c r="T861" s="47"/>
      <c r="U861" s="47"/>
      <c r="V861" s="47"/>
      <c r="Y861" s="47"/>
    </row>
    <row r="862" ht="15.75" customHeight="1">
      <c r="T862" s="47"/>
      <c r="U862" s="47"/>
      <c r="V862" s="47"/>
      <c r="Y862" s="47"/>
    </row>
    <row r="863" ht="15.75" customHeight="1">
      <c r="T863" s="47"/>
      <c r="U863" s="47"/>
      <c r="V863" s="47"/>
      <c r="Y863" s="47"/>
    </row>
    <row r="864" ht="15.75" customHeight="1">
      <c r="T864" s="47"/>
      <c r="U864" s="47"/>
      <c r="V864" s="47"/>
      <c r="Y864" s="47"/>
    </row>
    <row r="865" ht="15.75" customHeight="1">
      <c r="T865" s="47"/>
      <c r="U865" s="47"/>
      <c r="V865" s="47"/>
      <c r="Y865" s="47"/>
    </row>
    <row r="866" ht="15.75" customHeight="1">
      <c r="T866" s="47"/>
      <c r="U866" s="47"/>
      <c r="V866" s="47"/>
      <c r="Y866" s="47"/>
    </row>
    <row r="867" ht="15.75" customHeight="1">
      <c r="T867" s="47"/>
      <c r="U867" s="47"/>
      <c r="V867" s="47"/>
      <c r="Y867" s="47"/>
    </row>
    <row r="868" ht="15.75" customHeight="1">
      <c r="T868" s="47"/>
      <c r="U868" s="47"/>
      <c r="V868" s="47"/>
      <c r="Y868" s="47"/>
    </row>
    <row r="869" ht="15.75" customHeight="1">
      <c r="T869" s="47"/>
      <c r="U869" s="47"/>
      <c r="V869" s="47"/>
      <c r="Y869" s="47"/>
    </row>
    <row r="870" ht="15.75" customHeight="1">
      <c r="T870" s="47"/>
      <c r="U870" s="47"/>
      <c r="V870" s="47"/>
      <c r="Y870" s="47"/>
    </row>
    <row r="871" ht="15.75" customHeight="1">
      <c r="T871" s="47"/>
      <c r="U871" s="47"/>
      <c r="V871" s="47"/>
      <c r="Y871" s="47"/>
    </row>
    <row r="872" ht="15.75" customHeight="1">
      <c r="T872" s="47"/>
      <c r="U872" s="47"/>
      <c r="V872" s="47"/>
      <c r="Y872" s="47"/>
    </row>
    <row r="873" ht="15.75" customHeight="1">
      <c r="T873" s="47"/>
      <c r="U873" s="47"/>
      <c r="V873" s="47"/>
      <c r="Y873" s="47"/>
    </row>
    <row r="874" ht="15.75" customHeight="1">
      <c r="T874" s="47"/>
      <c r="U874" s="47"/>
      <c r="V874" s="47"/>
      <c r="Y874" s="47"/>
    </row>
    <row r="875" ht="15.75" customHeight="1">
      <c r="T875" s="47"/>
      <c r="U875" s="47"/>
      <c r="V875" s="47"/>
      <c r="Y875" s="47"/>
    </row>
    <row r="876" ht="15.75" customHeight="1">
      <c r="T876" s="47"/>
      <c r="U876" s="47"/>
      <c r="V876" s="47"/>
      <c r="Y876" s="47"/>
    </row>
    <row r="877" ht="15.75" customHeight="1">
      <c r="T877" s="47"/>
      <c r="U877" s="47"/>
      <c r="V877" s="47"/>
      <c r="Y877" s="47"/>
    </row>
    <row r="878" ht="15.75" customHeight="1">
      <c r="T878" s="47"/>
      <c r="U878" s="47"/>
      <c r="V878" s="47"/>
      <c r="Y878" s="47"/>
    </row>
    <row r="879" ht="15.75" customHeight="1">
      <c r="T879" s="47"/>
      <c r="U879" s="47"/>
      <c r="V879" s="47"/>
      <c r="Y879" s="47"/>
    </row>
    <row r="880" ht="15.75" customHeight="1">
      <c r="T880" s="47"/>
      <c r="U880" s="47"/>
      <c r="V880" s="47"/>
      <c r="Y880" s="47"/>
    </row>
    <row r="881" ht="15.75" customHeight="1">
      <c r="T881" s="47"/>
      <c r="U881" s="47"/>
      <c r="V881" s="47"/>
      <c r="Y881" s="47"/>
    </row>
    <row r="882" ht="15.75" customHeight="1">
      <c r="T882" s="47"/>
      <c r="U882" s="47"/>
      <c r="V882" s="47"/>
      <c r="Y882" s="47"/>
    </row>
    <row r="883" ht="15.75" customHeight="1">
      <c r="T883" s="47"/>
      <c r="U883" s="47"/>
      <c r="V883" s="47"/>
      <c r="Y883" s="47"/>
    </row>
    <row r="884" ht="15.75" customHeight="1">
      <c r="T884" s="47"/>
      <c r="U884" s="47"/>
      <c r="V884" s="47"/>
      <c r="Y884" s="47"/>
    </row>
    <row r="885" ht="15.75" customHeight="1">
      <c r="T885" s="47"/>
      <c r="U885" s="47"/>
      <c r="V885" s="47"/>
      <c r="Y885" s="47"/>
    </row>
    <row r="886" ht="15.75" customHeight="1">
      <c r="T886" s="47"/>
      <c r="U886" s="47"/>
      <c r="V886" s="47"/>
      <c r="Y886" s="47"/>
    </row>
    <row r="887" ht="15.75" customHeight="1">
      <c r="T887" s="47"/>
      <c r="U887" s="47"/>
      <c r="V887" s="47"/>
      <c r="Y887" s="47"/>
    </row>
    <row r="888" ht="15.75" customHeight="1">
      <c r="T888" s="47"/>
      <c r="U888" s="47"/>
      <c r="V888" s="47"/>
      <c r="Y888" s="47"/>
    </row>
    <row r="889" ht="15.75" customHeight="1">
      <c r="T889" s="47"/>
      <c r="U889" s="47"/>
      <c r="V889" s="47"/>
      <c r="Y889" s="47"/>
    </row>
    <row r="890" ht="15.75" customHeight="1">
      <c r="T890" s="47"/>
      <c r="U890" s="47"/>
      <c r="V890" s="47"/>
      <c r="Y890" s="47"/>
    </row>
    <row r="891" ht="15.75" customHeight="1">
      <c r="T891" s="47"/>
      <c r="U891" s="47"/>
      <c r="V891" s="47"/>
      <c r="Y891" s="47"/>
    </row>
    <row r="892" ht="15.75" customHeight="1">
      <c r="T892" s="47"/>
      <c r="U892" s="47"/>
      <c r="V892" s="47"/>
      <c r="Y892" s="47"/>
    </row>
    <row r="893" ht="15.75" customHeight="1">
      <c r="T893" s="47"/>
      <c r="U893" s="47"/>
      <c r="V893" s="47"/>
      <c r="Y893" s="47"/>
    </row>
    <row r="894" ht="15.75" customHeight="1">
      <c r="T894" s="47"/>
      <c r="U894" s="47"/>
      <c r="V894" s="47"/>
      <c r="Y894" s="47"/>
    </row>
    <row r="895" ht="15.75" customHeight="1">
      <c r="T895" s="47"/>
      <c r="U895" s="47"/>
      <c r="V895" s="47"/>
      <c r="Y895" s="47"/>
    </row>
    <row r="896" ht="15.75" customHeight="1">
      <c r="T896" s="47"/>
      <c r="U896" s="47"/>
      <c r="V896" s="47"/>
      <c r="Y896" s="47"/>
    </row>
    <row r="897" ht="15.75" customHeight="1">
      <c r="T897" s="47"/>
      <c r="U897" s="47"/>
      <c r="V897" s="47"/>
      <c r="Y897" s="47"/>
    </row>
    <row r="898" ht="15.75" customHeight="1">
      <c r="T898" s="47"/>
      <c r="U898" s="47"/>
      <c r="V898" s="47"/>
      <c r="Y898" s="47"/>
    </row>
    <row r="899" ht="15.75" customHeight="1">
      <c r="T899" s="47"/>
      <c r="U899" s="47"/>
      <c r="V899" s="47"/>
      <c r="Y899" s="47"/>
    </row>
    <row r="900" ht="15.75" customHeight="1">
      <c r="T900" s="47"/>
      <c r="U900" s="47"/>
      <c r="V900" s="47"/>
      <c r="Y900" s="47"/>
    </row>
    <row r="901" ht="15.75" customHeight="1">
      <c r="T901" s="47"/>
      <c r="U901" s="47"/>
      <c r="V901" s="47"/>
      <c r="Y901" s="47"/>
    </row>
    <row r="902" ht="15.75" customHeight="1">
      <c r="T902" s="47"/>
      <c r="U902" s="47"/>
      <c r="V902" s="47"/>
      <c r="Y902" s="47"/>
    </row>
    <row r="903" ht="15.75" customHeight="1">
      <c r="T903" s="47"/>
      <c r="U903" s="47"/>
      <c r="V903" s="47"/>
      <c r="Y903" s="47"/>
    </row>
    <row r="904" ht="15.75" customHeight="1">
      <c r="T904" s="47"/>
      <c r="U904" s="47"/>
      <c r="V904" s="47"/>
      <c r="Y904" s="47"/>
    </row>
    <row r="905" ht="15.75" customHeight="1">
      <c r="T905" s="47"/>
      <c r="U905" s="47"/>
      <c r="V905" s="47"/>
      <c r="Y905" s="47"/>
    </row>
    <row r="906" ht="15.75" customHeight="1">
      <c r="T906" s="47"/>
      <c r="U906" s="47"/>
      <c r="V906" s="47"/>
      <c r="Y906" s="47"/>
    </row>
    <row r="907" ht="15.75" customHeight="1">
      <c r="T907" s="47"/>
      <c r="U907" s="47"/>
      <c r="V907" s="47"/>
      <c r="Y907" s="47"/>
    </row>
    <row r="908" ht="15.75" customHeight="1">
      <c r="T908" s="47"/>
      <c r="U908" s="47"/>
      <c r="V908" s="47"/>
      <c r="Y908" s="47"/>
    </row>
    <row r="909" ht="15.75" customHeight="1">
      <c r="T909" s="47"/>
      <c r="U909" s="47"/>
      <c r="V909" s="47"/>
      <c r="Y909" s="47"/>
    </row>
    <row r="910" ht="15.75" customHeight="1">
      <c r="T910" s="47"/>
      <c r="U910" s="47"/>
      <c r="V910" s="47"/>
      <c r="Y910" s="47"/>
    </row>
    <row r="911" ht="15.75" customHeight="1">
      <c r="T911" s="47"/>
      <c r="U911" s="47"/>
      <c r="V911" s="47"/>
      <c r="Y911" s="47"/>
    </row>
    <row r="912" ht="15.75" customHeight="1">
      <c r="T912" s="47"/>
      <c r="U912" s="47"/>
      <c r="V912" s="47"/>
      <c r="Y912" s="47"/>
    </row>
    <row r="913" ht="15.75" customHeight="1">
      <c r="T913" s="47"/>
      <c r="U913" s="47"/>
      <c r="V913" s="47"/>
      <c r="Y913" s="47"/>
    </row>
    <row r="914" ht="15.75" customHeight="1">
      <c r="T914" s="47"/>
      <c r="U914" s="47"/>
      <c r="V914" s="47"/>
      <c r="Y914" s="47"/>
    </row>
    <row r="915" ht="15.75" customHeight="1">
      <c r="T915" s="47"/>
      <c r="U915" s="47"/>
      <c r="V915" s="47"/>
      <c r="Y915" s="47"/>
    </row>
    <row r="916" ht="15.75" customHeight="1">
      <c r="T916" s="47"/>
      <c r="U916" s="47"/>
      <c r="V916" s="47"/>
      <c r="Y916" s="47"/>
    </row>
    <row r="917" ht="15.75" customHeight="1">
      <c r="T917" s="47"/>
      <c r="U917" s="47"/>
      <c r="V917" s="47"/>
      <c r="Y917" s="47"/>
    </row>
    <row r="918" ht="15.75" customHeight="1">
      <c r="T918" s="47"/>
      <c r="U918" s="47"/>
      <c r="V918" s="47"/>
      <c r="Y918" s="47"/>
    </row>
    <row r="919" ht="15.75" customHeight="1">
      <c r="T919" s="47"/>
      <c r="U919" s="47"/>
      <c r="V919" s="47"/>
      <c r="Y919" s="47"/>
    </row>
    <row r="920" ht="15.75" customHeight="1">
      <c r="T920" s="47"/>
      <c r="U920" s="47"/>
      <c r="V920" s="47"/>
      <c r="Y920" s="47"/>
    </row>
    <row r="921" ht="15.75" customHeight="1">
      <c r="T921" s="47"/>
      <c r="U921" s="47"/>
      <c r="V921" s="47"/>
      <c r="Y921" s="47"/>
    </row>
    <row r="922" ht="15.75" customHeight="1">
      <c r="T922" s="47"/>
      <c r="U922" s="47"/>
      <c r="V922" s="47"/>
      <c r="Y922" s="47"/>
    </row>
    <row r="923" ht="15.75" customHeight="1">
      <c r="T923" s="47"/>
      <c r="U923" s="47"/>
      <c r="V923" s="47"/>
      <c r="Y923" s="47"/>
    </row>
    <row r="924" ht="15.75" customHeight="1">
      <c r="T924" s="47"/>
      <c r="U924" s="47"/>
      <c r="V924" s="47"/>
      <c r="Y924" s="47"/>
    </row>
    <row r="925" ht="15.75" customHeight="1">
      <c r="T925" s="47"/>
      <c r="U925" s="47"/>
      <c r="V925" s="47"/>
      <c r="Y925" s="47"/>
    </row>
    <row r="926" ht="15.75" customHeight="1">
      <c r="T926" s="47"/>
      <c r="U926" s="47"/>
      <c r="V926" s="47"/>
      <c r="Y926" s="47"/>
    </row>
    <row r="927" ht="15.75" customHeight="1">
      <c r="T927" s="47"/>
      <c r="U927" s="47"/>
      <c r="V927" s="47"/>
      <c r="Y927" s="47"/>
    </row>
    <row r="928" ht="15.75" customHeight="1">
      <c r="T928" s="47"/>
      <c r="U928" s="47"/>
      <c r="V928" s="47"/>
      <c r="Y928" s="47"/>
    </row>
    <row r="929" ht="15.75" customHeight="1">
      <c r="T929" s="47"/>
      <c r="U929" s="47"/>
      <c r="V929" s="47"/>
      <c r="Y929" s="47"/>
    </row>
    <row r="930" ht="15.75" customHeight="1">
      <c r="T930" s="47"/>
      <c r="U930" s="47"/>
      <c r="V930" s="47"/>
      <c r="Y930" s="47"/>
    </row>
    <row r="931" ht="15.75" customHeight="1">
      <c r="T931" s="47"/>
      <c r="U931" s="47"/>
      <c r="V931" s="47"/>
      <c r="Y931" s="47"/>
    </row>
    <row r="932" ht="15.75" customHeight="1">
      <c r="T932" s="47"/>
      <c r="U932" s="47"/>
      <c r="V932" s="47"/>
      <c r="Y932" s="47"/>
    </row>
    <row r="933" ht="15.75" customHeight="1">
      <c r="T933" s="47"/>
      <c r="U933" s="47"/>
      <c r="V933" s="47"/>
      <c r="Y933" s="47"/>
    </row>
    <row r="934" ht="15.75" customHeight="1">
      <c r="T934" s="47"/>
      <c r="U934" s="47"/>
      <c r="V934" s="47"/>
      <c r="Y934" s="47"/>
    </row>
    <row r="935" ht="15.75" customHeight="1">
      <c r="T935" s="47"/>
      <c r="U935" s="47"/>
      <c r="V935" s="47"/>
      <c r="Y935" s="47"/>
    </row>
    <row r="936" ht="15.75" customHeight="1">
      <c r="T936" s="47"/>
      <c r="U936" s="47"/>
      <c r="V936" s="47"/>
      <c r="Y936" s="47"/>
    </row>
    <row r="937" ht="15.75" customHeight="1">
      <c r="T937" s="47"/>
      <c r="U937" s="47"/>
      <c r="V937" s="47"/>
      <c r="Y937" s="47"/>
    </row>
    <row r="938" ht="15.75" customHeight="1">
      <c r="T938" s="47"/>
      <c r="U938" s="47"/>
      <c r="V938" s="47"/>
      <c r="Y938" s="47"/>
    </row>
    <row r="939" ht="15.75" customHeight="1">
      <c r="T939" s="47"/>
      <c r="U939" s="47"/>
      <c r="V939" s="47"/>
      <c r="Y939" s="47"/>
    </row>
    <row r="940" ht="15.75" customHeight="1">
      <c r="T940" s="47"/>
      <c r="U940" s="47"/>
      <c r="V940" s="47"/>
      <c r="Y940" s="47"/>
    </row>
    <row r="941" ht="15.75" customHeight="1">
      <c r="T941" s="47"/>
      <c r="U941" s="47"/>
      <c r="V941" s="47"/>
      <c r="Y941" s="47"/>
    </row>
    <row r="942" ht="15.75" customHeight="1">
      <c r="T942" s="47"/>
      <c r="U942" s="47"/>
      <c r="V942" s="47"/>
      <c r="Y942" s="47"/>
    </row>
    <row r="943" ht="15.75" customHeight="1">
      <c r="T943" s="47"/>
      <c r="U943" s="47"/>
      <c r="V943" s="47"/>
      <c r="Y943" s="47"/>
    </row>
    <row r="944" ht="15.75" customHeight="1">
      <c r="T944" s="47"/>
      <c r="U944" s="47"/>
      <c r="V944" s="47"/>
      <c r="Y944" s="47"/>
    </row>
    <row r="945" ht="15.75" customHeight="1">
      <c r="T945" s="47"/>
      <c r="U945" s="47"/>
      <c r="V945" s="47"/>
      <c r="Y945" s="47"/>
    </row>
    <row r="946" ht="15.75" customHeight="1">
      <c r="T946" s="47"/>
      <c r="U946" s="47"/>
      <c r="V946" s="47"/>
      <c r="Y946" s="47"/>
    </row>
    <row r="947" ht="15.75" customHeight="1">
      <c r="T947" s="47"/>
      <c r="U947" s="47"/>
      <c r="V947" s="47"/>
      <c r="Y947" s="47"/>
    </row>
    <row r="948" ht="15.75" customHeight="1">
      <c r="T948" s="47"/>
      <c r="U948" s="47"/>
      <c r="V948" s="47"/>
      <c r="Y948" s="47"/>
    </row>
    <row r="949" ht="15.75" customHeight="1">
      <c r="T949" s="47"/>
      <c r="U949" s="47"/>
      <c r="V949" s="47"/>
      <c r="Y949" s="47"/>
    </row>
    <row r="950" ht="15.75" customHeight="1">
      <c r="T950" s="47"/>
      <c r="U950" s="47"/>
      <c r="V950" s="47"/>
      <c r="Y950" s="47"/>
    </row>
    <row r="951" ht="15.75" customHeight="1">
      <c r="T951" s="47"/>
      <c r="U951" s="47"/>
      <c r="V951" s="47"/>
      <c r="Y951" s="47"/>
    </row>
    <row r="952" ht="15.75" customHeight="1">
      <c r="T952" s="47"/>
      <c r="U952" s="47"/>
      <c r="V952" s="47"/>
      <c r="Y952" s="47"/>
    </row>
    <row r="953" ht="15.75" customHeight="1">
      <c r="T953" s="47"/>
      <c r="U953" s="47"/>
      <c r="V953" s="47"/>
      <c r="Y953" s="47"/>
    </row>
    <row r="954" ht="15.75" customHeight="1">
      <c r="T954" s="47"/>
      <c r="U954" s="47"/>
      <c r="V954" s="47"/>
      <c r="Y954" s="47"/>
    </row>
    <row r="955" ht="15.75" customHeight="1">
      <c r="T955" s="47"/>
      <c r="U955" s="47"/>
      <c r="V955" s="47"/>
      <c r="Y955" s="47"/>
    </row>
    <row r="956" ht="15.75" customHeight="1">
      <c r="T956" s="47"/>
      <c r="U956" s="47"/>
      <c r="V956" s="47"/>
      <c r="Y956" s="47"/>
    </row>
    <row r="957" ht="15.75" customHeight="1">
      <c r="T957" s="47"/>
      <c r="U957" s="47"/>
      <c r="V957" s="47"/>
      <c r="Y957" s="47"/>
    </row>
    <row r="958" ht="15.75" customHeight="1">
      <c r="T958" s="47"/>
      <c r="U958" s="47"/>
      <c r="V958" s="47"/>
      <c r="Y958" s="47"/>
    </row>
    <row r="959" ht="15.75" customHeight="1">
      <c r="T959" s="47"/>
      <c r="U959" s="47"/>
      <c r="V959" s="47"/>
      <c r="Y959" s="47"/>
    </row>
    <row r="960" ht="15.75" customHeight="1">
      <c r="T960" s="47"/>
      <c r="U960" s="47"/>
      <c r="V960" s="47"/>
      <c r="Y960" s="47"/>
    </row>
    <row r="961" ht="15.75" customHeight="1">
      <c r="T961" s="47"/>
      <c r="U961" s="47"/>
      <c r="V961" s="47"/>
      <c r="Y961" s="47"/>
    </row>
    <row r="962" ht="15.75" customHeight="1">
      <c r="T962" s="47"/>
      <c r="U962" s="47"/>
      <c r="V962" s="47"/>
      <c r="Y962" s="47"/>
    </row>
    <row r="963" ht="15.75" customHeight="1">
      <c r="T963" s="47"/>
      <c r="U963" s="47"/>
      <c r="V963" s="47"/>
      <c r="Y963" s="47"/>
    </row>
    <row r="964" ht="15.75" customHeight="1">
      <c r="T964" s="47"/>
      <c r="U964" s="47"/>
      <c r="V964" s="47"/>
      <c r="Y964" s="47"/>
    </row>
    <row r="965" ht="15.75" customHeight="1">
      <c r="T965" s="47"/>
      <c r="U965" s="47"/>
      <c r="V965" s="47"/>
      <c r="Y965" s="47"/>
    </row>
    <row r="966" ht="15.75" customHeight="1">
      <c r="T966" s="47"/>
      <c r="U966" s="47"/>
      <c r="V966" s="47"/>
      <c r="Y966" s="47"/>
    </row>
    <row r="967" ht="15.75" customHeight="1">
      <c r="T967" s="47"/>
      <c r="U967" s="47"/>
      <c r="V967" s="47"/>
      <c r="Y967" s="47"/>
    </row>
    <row r="968" ht="15.75" customHeight="1">
      <c r="T968" s="47"/>
      <c r="U968" s="47"/>
      <c r="V968" s="47"/>
      <c r="Y968" s="47"/>
    </row>
    <row r="969" ht="15.75" customHeight="1">
      <c r="T969" s="47"/>
      <c r="U969" s="47"/>
      <c r="V969" s="47"/>
      <c r="Y969" s="47"/>
    </row>
    <row r="970" ht="15.75" customHeight="1">
      <c r="T970" s="47"/>
      <c r="U970" s="47"/>
      <c r="V970" s="47"/>
      <c r="Y970" s="47"/>
    </row>
    <row r="971" ht="15.75" customHeight="1">
      <c r="T971" s="47"/>
      <c r="U971" s="47"/>
      <c r="V971" s="47"/>
      <c r="Y971" s="47"/>
    </row>
    <row r="972" ht="15.75" customHeight="1">
      <c r="T972" s="47"/>
      <c r="U972" s="47"/>
      <c r="V972" s="47"/>
      <c r="Y972" s="47"/>
    </row>
    <row r="973" ht="15.75" customHeight="1">
      <c r="T973" s="47"/>
      <c r="U973" s="47"/>
      <c r="V973" s="47"/>
      <c r="Y973" s="47"/>
    </row>
    <row r="974" ht="15.75" customHeight="1">
      <c r="T974" s="47"/>
      <c r="U974" s="47"/>
      <c r="V974" s="47"/>
      <c r="Y974" s="47"/>
    </row>
    <row r="975" ht="15.75" customHeight="1">
      <c r="T975" s="47"/>
      <c r="U975" s="47"/>
      <c r="V975" s="47"/>
      <c r="Y975" s="47"/>
    </row>
    <row r="976" ht="15.75" customHeight="1">
      <c r="T976" s="47"/>
      <c r="U976" s="47"/>
      <c r="V976" s="47"/>
      <c r="Y976" s="47"/>
    </row>
    <row r="977" ht="15.75" customHeight="1">
      <c r="T977" s="47"/>
      <c r="U977" s="47"/>
      <c r="V977" s="47"/>
      <c r="Y977" s="47"/>
    </row>
    <row r="978" ht="15.75" customHeight="1">
      <c r="T978" s="47"/>
      <c r="U978" s="47"/>
      <c r="V978" s="47"/>
      <c r="Y978" s="47"/>
    </row>
    <row r="979" ht="15.75" customHeight="1">
      <c r="T979" s="47"/>
      <c r="U979" s="47"/>
      <c r="V979" s="47"/>
      <c r="Y979" s="47"/>
    </row>
    <row r="980" ht="15.75" customHeight="1">
      <c r="T980" s="47"/>
      <c r="U980" s="47"/>
      <c r="V980" s="47"/>
      <c r="Y980" s="47"/>
    </row>
    <row r="981" ht="15.75" customHeight="1">
      <c r="T981" s="47"/>
      <c r="U981" s="47"/>
      <c r="V981" s="47"/>
      <c r="Y981" s="47"/>
    </row>
    <row r="982" ht="15.75" customHeight="1">
      <c r="T982" s="47"/>
      <c r="U982" s="47"/>
      <c r="V982" s="47"/>
      <c r="Y982" s="47"/>
    </row>
    <row r="983" ht="15.75" customHeight="1">
      <c r="T983" s="47"/>
      <c r="U983" s="47"/>
      <c r="V983" s="47"/>
      <c r="Y983" s="47"/>
    </row>
    <row r="984" ht="15.75" customHeight="1">
      <c r="T984" s="47"/>
      <c r="U984" s="47"/>
      <c r="V984" s="47"/>
      <c r="Y984" s="47"/>
    </row>
    <row r="985" ht="15.75" customHeight="1">
      <c r="T985" s="47"/>
      <c r="U985" s="47"/>
      <c r="V985" s="47"/>
      <c r="Y985" s="47"/>
    </row>
    <row r="986" ht="15.75" customHeight="1">
      <c r="T986" s="47"/>
      <c r="U986" s="47"/>
      <c r="V986" s="47"/>
      <c r="Y986" s="47"/>
    </row>
    <row r="987" ht="15.75" customHeight="1">
      <c r="T987" s="47"/>
      <c r="U987" s="47"/>
      <c r="V987" s="47"/>
      <c r="Y987" s="47"/>
    </row>
    <row r="988" ht="15.75" customHeight="1">
      <c r="T988" s="47"/>
      <c r="U988" s="47"/>
      <c r="V988" s="47"/>
      <c r="Y988" s="47"/>
    </row>
    <row r="989" ht="15.75" customHeight="1">
      <c r="T989" s="47"/>
      <c r="U989" s="47"/>
      <c r="V989" s="47"/>
      <c r="Y989" s="47"/>
    </row>
    <row r="990" ht="15.75" customHeight="1">
      <c r="T990" s="47"/>
      <c r="U990" s="47"/>
      <c r="V990" s="47"/>
      <c r="Y990" s="47"/>
    </row>
    <row r="991" ht="15.75" customHeight="1">
      <c r="T991" s="47"/>
      <c r="U991" s="47"/>
      <c r="V991" s="47"/>
      <c r="Y991" s="47"/>
    </row>
    <row r="992" ht="15.75" customHeight="1">
      <c r="T992" s="47"/>
      <c r="U992" s="47"/>
      <c r="V992" s="47"/>
      <c r="Y992" s="47"/>
    </row>
    <row r="993" ht="15.75" customHeight="1">
      <c r="T993" s="47"/>
      <c r="U993" s="47"/>
      <c r="V993" s="47"/>
      <c r="Y993" s="47"/>
    </row>
    <row r="994" ht="15.75" customHeight="1">
      <c r="T994" s="47"/>
      <c r="U994" s="47"/>
      <c r="V994" s="47"/>
      <c r="Y994" s="47"/>
    </row>
    <row r="995" ht="15.75" customHeight="1">
      <c r="T995" s="47"/>
      <c r="U995" s="47"/>
      <c r="V995" s="47"/>
      <c r="Y995" s="47"/>
    </row>
    <row r="996" ht="15.75" customHeight="1">
      <c r="T996" s="47"/>
      <c r="U996" s="47"/>
      <c r="V996" s="47"/>
      <c r="Y996" s="47"/>
    </row>
    <row r="997" ht="15.75" customHeight="1">
      <c r="T997" s="47"/>
      <c r="U997" s="47"/>
      <c r="V997" s="47"/>
      <c r="Y997" s="47"/>
    </row>
    <row r="998" ht="15.75" customHeight="1">
      <c r="T998" s="47"/>
      <c r="U998" s="47"/>
      <c r="V998" s="47"/>
      <c r="Y998" s="47"/>
    </row>
    <row r="999" ht="15.75" customHeight="1">
      <c r="T999" s="47"/>
      <c r="U999" s="47"/>
      <c r="V999" s="47"/>
      <c r="Y999" s="47"/>
    </row>
    <row r="1000" ht="15.75" customHeight="1">
      <c r="T1000" s="47"/>
      <c r="U1000" s="47"/>
      <c r="V1000" s="47"/>
      <c r="Y1000" s="47"/>
    </row>
  </sheetData>
  <mergeCells count="2">
    <mergeCell ref="A1:J2"/>
    <mergeCell ref="Q1:U1"/>
  </mergeCells>
  <conditionalFormatting sqref="S5 S7 S9:S10 S12 S14:S15 S17 S19:S20 S22 S24:S25 S27 S29:S30 S32 S34:S35 S37 S39:S40 S42 S44:S45 S47 S49:S50 S52 S54:S55 S57 S59:S60 S62 S64:S65 S67 S69:S70 S72 S74:S75 S77 S79:S80 S82 S84:S85 S87 S89:S90 S92 S94:S95 S97 S99:S100 S102 S104:S105 S107 S109:S110 S112 S114:S115 S117 S119:S120 S122 S124:S125 S127 S129:S130 S132 S134:S135 S137 S139:S140 S142 S144:S145 S147 S149:S150 S152 S154:S155 S157">
    <cfRule type="notContainsBlanks" dxfId="0" priority="1">
      <formula>LEN(TRIM(S5))&gt;0</formula>
    </cfRule>
  </conditionalFormatting>
  <printOptions/>
  <pageMargins bottom="0.75" footer="0.0" header="0.0" left="0.7" right="0.7" top="0.75"/>
  <pageSetup orientation="portrait"/>
  <headerFooter>
    <oddFooter>&amp;C000000000000&amp;P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6">
      <c r="D6" s="30" t="s">
        <v>606</v>
      </c>
      <c r="E6" s="30" t="s">
        <v>607</v>
      </c>
      <c r="F6" s="30" t="s">
        <v>608</v>
      </c>
      <c r="G6" s="30"/>
      <c r="H6" s="30"/>
    </row>
    <row r="7">
      <c r="D7" s="30" t="s">
        <v>615</v>
      </c>
      <c r="E7" s="30" t="s">
        <v>616</v>
      </c>
      <c r="F7" s="30" t="s">
        <v>617</v>
      </c>
      <c r="G7" s="30"/>
      <c r="H7" s="30"/>
    </row>
    <row r="8">
      <c r="D8" s="30" t="s">
        <v>621</v>
      </c>
      <c r="E8" s="30" t="s">
        <v>622</v>
      </c>
      <c r="F8" s="30" t="s">
        <v>623</v>
      </c>
      <c r="G8" s="30"/>
      <c r="H8" s="30"/>
    </row>
    <row r="9">
      <c r="D9" s="30" t="s">
        <v>627</v>
      </c>
      <c r="E9" s="30" t="s">
        <v>628</v>
      </c>
      <c r="F9" s="30" t="s">
        <v>629</v>
      </c>
      <c r="G9" s="30"/>
      <c r="H9" s="30"/>
    </row>
    <row r="10">
      <c r="D10" s="30" t="s">
        <v>633</v>
      </c>
      <c r="E10" s="30" t="s">
        <v>635</v>
      </c>
      <c r="F10" s="30" t="s">
        <v>634</v>
      </c>
      <c r="G10" s="30" t="s">
        <v>636</v>
      </c>
      <c r="H10" s="30"/>
    </row>
    <row r="11">
      <c r="D11" s="30" t="s">
        <v>640</v>
      </c>
      <c r="E11" s="30" t="s">
        <v>642</v>
      </c>
      <c r="F11" s="30" t="s">
        <v>641</v>
      </c>
      <c r="G11" s="30" t="s">
        <v>643</v>
      </c>
      <c r="H11" s="30"/>
    </row>
    <row r="12">
      <c r="D12" s="30" t="s">
        <v>647</v>
      </c>
      <c r="E12" s="30" t="s">
        <v>648</v>
      </c>
      <c r="F12" s="30" t="s">
        <v>649</v>
      </c>
      <c r="G12" s="30"/>
      <c r="H12" s="30"/>
    </row>
    <row r="13">
      <c r="D13" s="30" t="s">
        <v>654</v>
      </c>
      <c r="E13" s="30" t="s">
        <v>655</v>
      </c>
      <c r="F13" s="30" t="s">
        <v>656</v>
      </c>
      <c r="G13" s="30"/>
      <c r="H13" s="30"/>
    </row>
    <row r="14">
      <c r="D14" s="30" t="s">
        <v>192</v>
      </c>
      <c r="E14" s="30" t="s">
        <v>659</v>
      </c>
      <c r="F14" s="30" t="s">
        <v>660</v>
      </c>
      <c r="G14" s="30"/>
      <c r="H14" s="30"/>
    </row>
    <row r="15">
      <c r="D15" s="30" t="s">
        <v>663</v>
      </c>
      <c r="E15" s="30" t="s">
        <v>664</v>
      </c>
      <c r="F15" s="30" t="s">
        <v>665</v>
      </c>
      <c r="G15" s="30"/>
      <c r="H15" s="30"/>
    </row>
    <row r="16">
      <c r="D16" s="30" t="s">
        <v>669</v>
      </c>
      <c r="E16" s="30" t="s">
        <v>670</v>
      </c>
      <c r="F16" s="30" t="s">
        <v>671</v>
      </c>
      <c r="G16" s="30"/>
      <c r="H16" s="30"/>
    </row>
    <row r="17">
      <c r="D17" s="30" t="s">
        <v>674</v>
      </c>
      <c r="E17" s="30" t="s">
        <v>675</v>
      </c>
      <c r="F17" s="30" t="s">
        <v>676</v>
      </c>
      <c r="G17" s="30"/>
      <c r="H17" s="30"/>
    </row>
    <row r="18">
      <c r="D18" s="30" t="s">
        <v>679</v>
      </c>
      <c r="E18" s="30" t="s">
        <v>680</v>
      </c>
      <c r="F18" s="30" t="s">
        <v>681</v>
      </c>
      <c r="G18" s="30"/>
      <c r="H18" s="30"/>
    </row>
    <row r="19">
      <c r="D19" s="30" t="s">
        <v>684</v>
      </c>
      <c r="E19" s="30" t="s">
        <v>686</v>
      </c>
      <c r="F19" s="30" t="s">
        <v>685</v>
      </c>
      <c r="G19" s="30" t="s">
        <v>687</v>
      </c>
      <c r="H19" s="30"/>
    </row>
    <row r="20">
      <c r="D20" s="30" t="s">
        <v>690</v>
      </c>
      <c r="E20" s="30" t="s">
        <v>692</v>
      </c>
      <c r="F20" s="30" t="s">
        <v>691</v>
      </c>
      <c r="G20" s="30" t="s">
        <v>693</v>
      </c>
      <c r="H20" s="30"/>
    </row>
    <row r="21">
      <c r="D21" s="30" t="s">
        <v>696</v>
      </c>
      <c r="E21" s="30" t="s">
        <v>697</v>
      </c>
      <c r="F21" s="30" t="s">
        <v>698</v>
      </c>
      <c r="G21" s="30"/>
      <c r="H21" s="30"/>
    </row>
    <row r="22">
      <c r="D22" s="30" t="s">
        <v>701</v>
      </c>
      <c r="E22" s="30" t="s">
        <v>702</v>
      </c>
      <c r="F22" s="30" t="s">
        <v>703</v>
      </c>
      <c r="G22" s="30"/>
      <c r="H22" s="30"/>
    </row>
    <row r="23">
      <c r="D23" s="30" t="s">
        <v>706</v>
      </c>
      <c r="E23" s="30" t="s">
        <v>174</v>
      </c>
      <c r="F23" s="30" t="s">
        <v>707</v>
      </c>
      <c r="G23" s="30"/>
      <c r="H23" s="30"/>
    </row>
    <row r="24">
      <c r="D24" s="30" t="s">
        <v>710</v>
      </c>
      <c r="E24" s="30" t="s">
        <v>711</v>
      </c>
      <c r="F24" s="30" t="s">
        <v>712</v>
      </c>
      <c r="G24" s="30"/>
      <c r="H24" s="30"/>
    </row>
    <row r="25">
      <c r="D25" s="30" t="s">
        <v>715</v>
      </c>
      <c r="E25" s="30" t="s">
        <v>716</v>
      </c>
      <c r="F25" s="30" t="s">
        <v>717</v>
      </c>
      <c r="G25" s="30"/>
      <c r="H25" s="30"/>
    </row>
    <row r="26">
      <c r="D26" s="30" t="s">
        <v>488</v>
      </c>
      <c r="E26" s="30" t="s">
        <v>720</v>
      </c>
      <c r="F26" s="30" t="s">
        <v>721</v>
      </c>
      <c r="G26" s="30"/>
      <c r="H26" s="30"/>
    </row>
    <row r="27">
      <c r="D27" s="30" t="s">
        <v>724</v>
      </c>
      <c r="E27" s="30" t="s">
        <v>725</v>
      </c>
      <c r="F27" s="30" t="s">
        <v>726</v>
      </c>
      <c r="G27" s="30"/>
      <c r="H27" s="30"/>
    </row>
    <row r="28">
      <c r="D28" s="30" t="s">
        <v>341</v>
      </c>
      <c r="E28" s="30" t="s">
        <v>729</v>
      </c>
      <c r="F28" s="30" t="s">
        <v>730</v>
      </c>
      <c r="G28" s="30"/>
      <c r="H28" s="30"/>
    </row>
    <row r="29">
      <c r="D29" s="30" t="s">
        <v>733</v>
      </c>
      <c r="E29" s="30" t="s">
        <v>734</v>
      </c>
      <c r="F29" s="30" t="s">
        <v>735</v>
      </c>
      <c r="G29" s="30"/>
      <c r="H29" s="30"/>
    </row>
    <row r="30">
      <c r="D30" s="30" t="s">
        <v>738</v>
      </c>
      <c r="E30" s="30" t="s">
        <v>739</v>
      </c>
      <c r="F30" s="30" t="s">
        <v>740</v>
      </c>
      <c r="G30" s="30"/>
      <c r="H30" s="30"/>
    </row>
    <row r="31">
      <c r="D31" s="30" t="s">
        <v>743</v>
      </c>
      <c r="E31" s="30" t="s">
        <v>744</v>
      </c>
      <c r="F31" s="30" t="s">
        <v>745</v>
      </c>
      <c r="G31" s="30"/>
      <c r="H31" s="30"/>
    </row>
    <row r="32">
      <c r="D32" s="30" t="s">
        <v>748</v>
      </c>
      <c r="E32" s="30" t="s">
        <v>749</v>
      </c>
      <c r="F32" s="30" t="s">
        <v>750</v>
      </c>
      <c r="G32" s="30"/>
      <c r="H32" s="30"/>
    </row>
    <row r="33">
      <c r="D33" s="30" t="s">
        <v>465</v>
      </c>
      <c r="E33" s="30" t="s">
        <v>753</v>
      </c>
      <c r="F33" s="30" t="s">
        <v>754</v>
      </c>
      <c r="G33" s="30"/>
      <c r="H33" s="30"/>
    </row>
    <row r="34">
      <c r="D34" s="30" t="s">
        <v>757</v>
      </c>
      <c r="E34" s="30" t="s">
        <v>758</v>
      </c>
      <c r="F34" s="30" t="s">
        <v>759</v>
      </c>
      <c r="G34" s="30"/>
      <c r="H34" s="30"/>
    </row>
    <row r="35">
      <c r="D35" s="30" t="s">
        <v>762</v>
      </c>
      <c r="E35" s="30" t="s">
        <v>642</v>
      </c>
      <c r="F35" s="30" t="s">
        <v>763</v>
      </c>
      <c r="G35" s="30" t="s">
        <v>764</v>
      </c>
      <c r="H35" s="30"/>
    </row>
    <row r="36">
      <c r="D36" s="30" t="s">
        <v>767</v>
      </c>
      <c r="E36" s="30" t="s">
        <v>769</v>
      </c>
      <c r="F36" s="30" t="s">
        <v>768</v>
      </c>
      <c r="G36" s="30" t="s">
        <v>770</v>
      </c>
      <c r="H36" s="30"/>
    </row>
    <row r="37">
      <c r="D37" s="30" t="s">
        <v>334</v>
      </c>
      <c r="E37" s="30" t="s">
        <v>335</v>
      </c>
      <c r="F37" s="30" t="s">
        <v>902</v>
      </c>
      <c r="G37" s="30"/>
      <c r="H37" s="30"/>
    </row>
    <row r="38">
      <c r="D38" s="30" t="s">
        <v>773</v>
      </c>
      <c r="E38" s="30" t="s">
        <v>775</v>
      </c>
      <c r="F38" s="30" t="s">
        <v>774</v>
      </c>
      <c r="G38" s="30"/>
      <c r="H38" s="30"/>
    </row>
    <row r="39">
      <c r="D39" s="30" t="s">
        <v>903</v>
      </c>
      <c r="E39" s="30" t="s">
        <v>904</v>
      </c>
      <c r="F39" s="30" t="s">
        <v>905</v>
      </c>
      <c r="G39" s="30" t="s">
        <v>906</v>
      </c>
      <c r="H39" s="30"/>
    </row>
    <row r="40">
      <c r="D40" s="30" t="s">
        <v>778</v>
      </c>
      <c r="E40" s="30" t="s">
        <v>780</v>
      </c>
      <c r="F40" s="30" t="s">
        <v>779</v>
      </c>
      <c r="G40" s="30" t="s">
        <v>781</v>
      </c>
      <c r="H40" s="30"/>
    </row>
    <row r="41">
      <c r="D41" s="30" t="s">
        <v>784</v>
      </c>
      <c r="E41" s="30" t="s">
        <v>785</v>
      </c>
      <c r="F41" s="30" t="s">
        <v>786</v>
      </c>
      <c r="G41" s="30"/>
      <c r="H41" s="30"/>
    </row>
    <row r="42">
      <c r="D42" s="30" t="s">
        <v>480</v>
      </c>
      <c r="E42" s="30" t="s">
        <v>789</v>
      </c>
      <c r="F42" s="30" t="s">
        <v>790</v>
      </c>
      <c r="G42" s="30"/>
      <c r="H42" s="30"/>
    </row>
    <row r="43">
      <c r="D43" s="30" t="s">
        <v>793</v>
      </c>
      <c r="E43" s="30" t="s">
        <v>794</v>
      </c>
      <c r="F43" s="30" t="s">
        <v>795</v>
      </c>
      <c r="G43" s="30"/>
      <c r="H43" s="30"/>
    </row>
    <row r="44">
      <c r="D44" s="30" t="s">
        <v>798</v>
      </c>
      <c r="E44" s="30" t="s">
        <v>799</v>
      </c>
      <c r="F44" s="30" t="s">
        <v>800</v>
      </c>
      <c r="G44" s="30"/>
      <c r="H44" s="30"/>
    </row>
    <row r="45">
      <c r="D45" s="30" t="s">
        <v>803</v>
      </c>
      <c r="E45" s="30" t="s">
        <v>804</v>
      </c>
      <c r="F45" s="30" t="s">
        <v>805</v>
      </c>
      <c r="G45" s="30"/>
      <c r="H45" s="30"/>
    </row>
    <row r="46">
      <c r="D46" s="30" t="s">
        <v>808</v>
      </c>
      <c r="E46" s="30" t="s">
        <v>809</v>
      </c>
      <c r="F46" s="30" t="s">
        <v>810</v>
      </c>
      <c r="G46" s="30"/>
      <c r="H46" s="30"/>
    </row>
    <row r="47">
      <c r="D47" s="30" t="s">
        <v>813</v>
      </c>
      <c r="E47" s="30" t="s">
        <v>814</v>
      </c>
      <c r="F47" s="30" t="s">
        <v>815</v>
      </c>
      <c r="G47" s="30"/>
      <c r="H47" s="30"/>
    </row>
    <row r="48">
      <c r="D48" s="30" t="s">
        <v>818</v>
      </c>
      <c r="E48" s="30" t="s">
        <v>819</v>
      </c>
      <c r="F48" s="30" t="s">
        <v>820</v>
      </c>
      <c r="G48" s="30"/>
      <c r="H48" s="30"/>
    </row>
    <row r="49">
      <c r="D49" s="30" t="s">
        <v>192</v>
      </c>
      <c r="E49" s="30" t="s">
        <v>823</v>
      </c>
      <c r="F49" s="30" t="s">
        <v>824</v>
      </c>
      <c r="G49" s="30"/>
      <c r="H49" s="30"/>
    </row>
    <row r="50">
      <c r="D50" s="30" t="s">
        <v>827</v>
      </c>
      <c r="E50" s="30" t="s">
        <v>829</v>
      </c>
      <c r="F50" s="30" t="s">
        <v>828</v>
      </c>
      <c r="G50" s="30" t="s">
        <v>830</v>
      </c>
      <c r="H50" s="30"/>
    </row>
    <row r="51">
      <c r="D51" s="42"/>
      <c r="E51" s="42"/>
      <c r="F51" s="42"/>
      <c r="G51" s="42"/>
      <c r="H51" s="42"/>
    </row>
    <row r="52">
      <c r="D52" s="30" t="s">
        <v>833</v>
      </c>
      <c r="E52" s="30" t="s">
        <v>834</v>
      </c>
      <c r="F52" s="30" t="s">
        <v>835</v>
      </c>
      <c r="G52" s="30"/>
      <c r="H52" s="30"/>
    </row>
    <row r="53">
      <c r="D53" s="30" t="s">
        <v>838</v>
      </c>
      <c r="E53" s="30" t="s">
        <v>769</v>
      </c>
      <c r="F53" s="30" t="s">
        <v>839</v>
      </c>
      <c r="G53" s="30" t="s">
        <v>840</v>
      </c>
      <c r="H53" s="30"/>
    </row>
    <row r="54">
      <c r="D54" s="30" t="s">
        <v>843</v>
      </c>
      <c r="E54" s="30" t="s">
        <v>720</v>
      </c>
      <c r="F54" s="30" t="s">
        <v>844</v>
      </c>
      <c r="G54" s="30"/>
      <c r="H54" s="30"/>
    </row>
    <row r="55">
      <c r="D55" s="30" t="s">
        <v>847</v>
      </c>
      <c r="E55" s="30" t="s">
        <v>849</v>
      </c>
      <c r="F55" s="30" t="s">
        <v>848</v>
      </c>
      <c r="G55" s="30" t="s">
        <v>850</v>
      </c>
      <c r="H55" s="30"/>
    </row>
    <row r="56">
      <c r="D56" s="30" t="s">
        <v>853</v>
      </c>
      <c r="E56" s="30" t="s">
        <v>855</v>
      </c>
      <c r="F56" s="30" t="s">
        <v>450</v>
      </c>
      <c r="G56" s="30" t="s">
        <v>854</v>
      </c>
      <c r="H56" s="30" t="s">
        <v>856</v>
      </c>
    </row>
    <row r="57">
      <c r="D57" s="30" t="s">
        <v>859</v>
      </c>
      <c r="E57" s="30" t="s">
        <v>720</v>
      </c>
      <c r="F57" s="30" t="s">
        <v>860</v>
      </c>
      <c r="G57" s="30"/>
      <c r="H57" s="30"/>
    </row>
    <row r="58">
      <c r="D58" s="30" t="s">
        <v>863</v>
      </c>
      <c r="E58" s="30" t="s">
        <v>642</v>
      </c>
      <c r="F58" s="30" t="s">
        <v>864</v>
      </c>
      <c r="G58" s="30" t="s">
        <v>711</v>
      </c>
      <c r="H58" s="30" t="s">
        <v>865</v>
      </c>
    </row>
    <row r="59">
      <c r="D59" s="30" t="s">
        <v>868</v>
      </c>
      <c r="E59" s="30" t="s">
        <v>870</v>
      </c>
      <c r="F59" s="30" t="s">
        <v>869</v>
      </c>
      <c r="G59" s="30" t="s">
        <v>871</v>
      </c>
      <c r="H59" s="30"/>
    </row>
    <row r="60">
      <c r="D60" s="30" t="s">
        <v>874</v>
      </c>
      <c r="E60" s="30" t="s">
        <v>875</v>
      </c>
      <c r="F60" s="30" t="s">
        <v>876</v>
      </c>
      <c r="G60" s="30"/>
      <c r="H60" s="30"/>
    </row>
    <row r="61">
      <c r="D61" s="30" t="s">
        <v>838</v>
      </c>
      <c r="E61" s="30" t="s">
        <v>879</v>
      </c>
      <c r="F61" s="30" t="s">
        <v>880</v>
      </c>
      <c r="G61" s="30"/>
      <c r="H61" s="30"/>
    </row>
    <row r="62">
      <c r="D62" s="30" t="s">
        <v>883</v>
      </c>
      <c r="E62" s="30" t="s">
        <v>884</v>
      </c>
      <c r="F62" s="30" t="s">
        <v>885</v>
      </c>
      <c r="G62" s="30"/>
      <c r="H62" s="30"/>
    </row>
    <row r="63">
      <c r="D63" s="30" t="s">
        <v>888</v>
      </c>
      <c r="E63" s="30" t="s">
        <v>889</v>
      </c>
      <c r="F63" s="30" t="s">
        <v>890</v>
      </c>
      <c r="G63" s="30"/>
      <c r="H63" s="30"/>
    </row>
    <row r="64">
      <c r="D64" s="30" t="s">
        <v>893</v>
      </c>
      <c r="E64" s="30" t="s">
        <v>894</v>
      </c>
      <c r="F64" s="30" t="s">
        <v>895</v>
      </c>
      <c r="G64" s="30"/>
      <c r="H64" s="30"/>
    </row>
    <row r="65">
      <c r="D65" s="30" t="s">
        <v>898</v>
      </c>
      <c r="E65" s="30" t="s">
        <v>894</v>
      </c>
      <c r="F65" s="30" t="s">
        <v>899</v>
      </c>
      <c r="G65" s="30"/>
      <c r="H65" s="30"/>
    </row>
  </sheetData>
  <drawing r:id="rId1"/>
</worksheet>
</file>